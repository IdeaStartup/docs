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3d900d1a1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6f64226fa6a3469b"/>
    <x:sheet xmlns:r="http://schemas.openxmlformats.org/officeDocument/2006/relationships" name="الشركات الناشئة" sheetId="2" r:id="R0bb474002f424570"/>
    <x:sheet xmlns:r="http://schemas.openxmlformats.org/officeDocument/2006/relationships" name="جهات التمويل والدعم" sheetId="3" r:id="R3c749b00c9b148a2"/>
    <x:sheet xmlns:r="http://schemas.openxmlformats.org/officeDocument/2006/relationships" name="التعريفات والمنهجية" sheetId="4" r:id="R587601064497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0">
    <x:font>
      <x:sz val="11"/>
      <x:name val="Carlito"/>
    </x:font>
    <x:font>
      <x:b/>
      <x:sz val="15"/>
      <x:color rgb="FF16324F"/>
      <x:name val="Arial"/>
    </x:font>
    <x:font>
      <x:sz val="10"/>
      <x:color rgb="FF607285"/>
      <x:name val="Arial"/>
    </x:font>
    <x:font>
      <x:sz val="10"/>
      <x:color rgb="FF203348"/>
      <x:name val="Arial"/>
    </x:font>
    <x:font>
      <x:b/>
      <x:sz val="10"/>
      <x:color rgb="FFFFFFFF"/>
      <x:name val="Arial"/>
    </x:font>
    <x:font>
      <x:sz val="10"/>
      <x:color rgb="FF1B6390"/>
      <x:name val="Arial"/>
    </x:font>
    <x:font>
      <x:sz val="11"/>
      <x:color rgb="FF203348"/>
      <x:name val="Arial"/>
    </x:font>
    <x:font>
      <x:b/>
      <x:sz val="11"/>
      <x:color rgb="FF203348"/>
      <x:name val="Arial"/>
    </x:font>
    <x:font>
      <x:b/>
      <x:sz val="11"/>
      <x:color rgb="FFFFFFFF"/>
      <x:name val="Arial"/>
    </x:font>
    <x:font>
      <x:b/>
      <x:sz val="11"/>
      <x:color rgb="FF28587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9B3C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8A5D12"/>
      </x:font>
      <x:fill>
        <x:patternFill patternType="solid">
          <x:bgColor rgb="FFFFF4DF"/>
        </x:patternFill>
      </x:fill>
    </x:dxf>
    <x:dxf>
      <x:font>
        <x:color rgb="FF8A5D12"/>
      </x:font>
      <x:fill>
        <x:patternFill patternType="solid">
          <x:bgColor rgb="FFFFF4DF"/>
        </x:patternFill>
      </x:fill>
    </x:dxf>
    <x:dxf>
      <x:font>
        <x:color rgb="FF8A5D12"/>
      </x:font>
      <x:fill>
        <x:patternFill patternType="solid">
          <x:bgColor rgb="FFFFF4DF"/>
        </x:patternFill>
      </x:fill>
    </x:dxf>
    <x:dxf>
      <x:font>
        <x:color rgb="FF8A5D12"/>
      </x:font>
      <x:fill>
        <x:patternFill patternType="solid">
          <x:bgColor rgb="FFFFF4DF"/>
        </x:patternFill>
      </x:fill>
    </x:dxf>
    <x:dxf>
      <x:font>
        <x:color rgb="FF8A5D12"/>
      </x:font>
      <x:fill>
        <x:patternFill patternType="solid">
          <x:bgColor rgb="FFFFF4DF"/>
        </x:patternFill>
      </x:fill>
    </x:dxf>
    <x:dxf>
      <x:font>
        <x:color rgb="FF8A5D12"/>
      </x:font>
      <x:fill>
        <x:patternFill patternType="solid">
          <x:bgColor rgb="FFFFF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52f3b3bc0433a" /><Relationship Type="http://schemas.openxmlformats.org/officeDocument/2006/relationships/theme" Target="/xl/theme/theme1.xml" Id="Re99df7447e4245cd" /><Relationship Type="http://schemas.openxmlformats.org/officeDocument/2006/relationships/sharedStrings" Target="/xl/sharedStrings.xml" Id="Rf8b5694e38da431c" /><Relationship Type="http://schemas.openxmlformats.org/officeDocument/2006/relationships/worksheet" Target="/xl/worksheets/sheet1.xml" Id="R6f64226fa6a3469b" /><Relationship Type="http://schemas.openxmlformats.org/officeDocument/2006/relationships/worksheet" Target="/xl/worksheets/sheet2.xml" Id="R0bb474002f424570" /><Relationship Type="http://schemas.openxmlformats.org/officeDocument/2006/relationships/worksheet" Target="/xl/worksheets/sheet3.xml" Id="R3c749b00c9b148a2" /><Relationship Type="http://schemas.openxmlformats.org/officeDocument/2006/relationships/worksheet" Target="/xl/worksheets/sheet4.xml" Id="R5876010644974219" /></Relationships>
</file>

<file path=xl/tables/table1.xml><?xml version="1.0" encoding="utf-8"?>
<x:table xmlns:x="http://schemas.openxmlformats.org/spreadsheetml/2006/main" id="1" name="StartupDirectory" displayName="StartupDirectory" ref="A5:AA105" headerRowCount="1" totalsRowCount="0" totalsRowShown="0">
  <x:autoFilter ref="A5:AA105"/>
  <x:tableColumns count="27">
    <x:tableColumn id="1" name="المعرّف"/>
    <x:tableColumn id="2" name="اسم الشركة"/>
    <x:tableColumn id="3" name="الإمارة / المدينة"/>
    <x:tableColumn id="4" name="القطاع"/>
    <x:tableColumn id="5" name="سنة التأسيس"/>
    <x:tableColumn id="6" name="مؤسسون مذكورون بالمصادر"/>
    <x:tableColumn id="7" name="البريد الإلكتروني"/>
    <x:tableColumn id="8" name="هاتف مؤسسي معلن"/>
    <x:tableColumn id="9" name="نوع قناة البريد"/>
    <x:tableColumn id="10" name="الموقع الإلكتروني"/>
    <x:tableColumn id="11" name="جمع تمويل حالياً"/>
    <x:tableColumn id="12" name="جولة موثقة في المصادر"/>
    <x:tableColumn id="13" name="مبلغ الجولة USD"/>
    <x:tableColumn id="14" name="تاريخ الجولة المنشور"/>
    <x:tableColumn id="15" name="ملاحظة التمويل"/>
    <x:tableColumn id="16" name="حالة الاستقطاب / التواصل"/>
    <x:tableColumn id="17" name="الإجراء التالي"/>
    <x:tableColumn id="18" name="ملاحظات التحقق"/>
    <x:tableColumn id="19" name="تاريخ المراجعة"/>
    <x:tableColumn id="20" name="مصدر البيانات الأساسية"/>
    <x:tableColumn id="21" name="مصدر المؤسسين"/>
    <x:tableColumn id="22" name="مصدر جولة التمويل"/>
    <x:tableColumn id="23" name="مصدر البريد"/>
    <x:tableColumn id="24" name="مصدر الهاتف"/>
    <x:tableColumn id="25" name="صفحة التواصل البديلة"/>
    <x:tableColumn id="26" name="نوع مصدر البريد"/>
    <x:tableColumn id="27" name="نوع مصدر الهات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dingDirectory" displayName="FundingDirectory" ref="A5:X105" headerRowCount="1" totalsRowCount="0" totalsRowShown="0">
  <x:autoFilter ref="A5:X105"/>
  <x:tableColumns count="24">
    <x:tableColumn id="1" name="المعرّف"/>
    <x:tableColumn id="2" name="اسم الجهة"/>
    <x:tableColumn id="3" name="نوع الجهة"/>
    <x:tableColumn id="4" name="المقر / الوجود الإماراتي"/>
    <x:tableColumn id="5" name="التركيز العام"/>
    <x:tableColumn id="6" name="المراحل المستهدفة"/>
    <x:tableColumn id="7" name="أداة التمويل / الدعم"/>
    <x:tableColumn id="8" name="دور الجهة"/>
    <x:tableColumn id="9" name="البريد الإلكتروني"/>
    <x:tableColumn id="10" name="هاتف مؤسسي معلن"/>
    <x:tableColumn id="11" name="نوع قناة البريد"/>
    <x:tableColumn id="12" name="الموقع الإلكتروني"/>
    <x:tableColumn id="13" name="قناة التقديم / التواصل المنشورة"/>
    <x:tableColumn id="14" name="الأهلية / شرط أساسي"/>
    <x:tableColumn id="15" name="حالة نافذة التقديم"/>
    <x:tableColumn id="16" name="حالة الاستقطاب / التواصل"/>
    <x:tableColumn id="17" name="الإجراء التالي"/>
    <x:tableColumn id="18" name="ملاحظات التحقق والعلاقات"/>
    <x:tableColumn id="19" name="تاريخ المراجعة"/>
    <x:tableColumn id="20" name="مصدر تعريف الجهة"/>
    <x:tableColumn id="21" name="مصدر البريد"/>
    <x:tableColumn id="22" name="مصدر الهاتف"/>
    <x:tableColumn id="23" name="نوع مصدر البريد"/>
    <x:tableColumn id="24" name="نوع مصدر الهات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9a6fb15238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c8a3ab97e64562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45" hidden="0" customWidth="1"/>
    <x:col min="2" max="2" width="27" hidden="0" customWidth="1"/>
    <x:col min="3" max="3" width="2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0" customHeight="1">
      <x:c r="A1" s="16"/>
      <x:c r="B1" s="16"/>
      <x:c r="C1" s="16"/>
      <x:c r="D1" s="16"/>
      <x:c r="E1" s="16"/>
      <x:c r="F1" s="16"/>
      <x:c r="G1" s="16"/>
      <x:c r="H1" s="16"/>
    </x:row>
    <x:row r="2">
      <x:c r="A2" s="1" t="str">
        <x:v>قاعدة بيانات منظومة الشركات الناشئة في الإمارات</x:v>
      </x:c>
      <x:c r="B2" s="16"/>
      <x:c r="C2" s="16"/>
      <x:c r="D2" s="16"/>
      <x:c r="E2" s="16"/>
      <x:c r="F2" s="16"/>
      <x:c r="G2" s="16"/>
      <x:c r="H2" s="16"/>
    </x:row>
    <x:row r="3">
      <x:c r="A3" s="16" t="str">
        <x:v>تاريخ مراجعة المصادر</x:v>
      </x:c>
      <x:c r="B3" s="18" t="d">
        <x:v>2026-10-22T06:00:00.000Z</x:v>
      </x:c>
      <x:c r="C3" s="16"/>
      <x:c r="D3" s="16"/>
      <x:c r="E3" s="16"/>
      <x:c r="F3" s="16"/>
      <x:c r="G3" s="16"/>
      <x:c r="H3" s="16"/>
    </x:row>
    <x:row r="4">
      <x:c r="A4" s="26"/>
      <x:c r="B4" s="26"/>
      <x:c r="C4" s="26"/>
      <x:c r="D4" s="26"/>
      <x:c r="E4" s="26"/>
      <x:c r="F4" s="26"/>
      <x:c r="G4" s="16"/>
      <x:c r="H4" s="16"/>
    </x:row>
    <x:row r="5" ht="30" customHeight="1">
      <x:c r="A5" s="21" t="str">
        <x:v>مؤشر التغطية</x:v>
      </x:c>
      <x:c r="B5" s="21" t="str">
        <x:v>الشركات</x:v>
      </x:c>
      <x:c r="C5" s="21" t="str">
        <x:v>جهات التمويل والدعم</x:v>
      </x:c>
      <x:c r="D5" s="16"/>
      <x:c r="E5" s="16"/>
      <x:c r="F5" s="16"/>
      <x:c r="G5" s="16"/>
      <x:c r="H5" s="16"/>
    </x:row>
    <x:row r="6" ht="30" customHeight="1">
      <x:c r="A6" s="16" t="str">
        <x:v>عدد السجلات</x:v>
      </x:c>
      <x:c r="B6" s="23" t="n">
        <x:f>COUNTA('الشركات الناشئة'!B6:B105)</x:f>
        <x:v>100</x:v>
      </x:c>
      <x:c r="C6" s="23" t="n">
        <x:f>COUNTA('جهات التمويل والدعم'!B6:B105)</x:f>
        <x:v>100</x:v>
      </x:c>
      <x:c r="D6" s="16"/>
      <x:c r="E6" s="16"/>
      <x:c r="F6" s="16"/>
      <x:c r="G6" s="16"/>
      <x:c r="H6" s="16"/>
    </x:row>
    <x:row r="7" ht="30" customHeight="1">
      <x:c r="A7" s="16" t="str">
        <x:v>يتوفر بريد معلن</x:v>
      </x:c>
      <x:c r="B7" s="22" t="n">
        <x:f>100-COUNTIF('الشركات الناشئة'!G6:G105,"غير متاح في المصادر المراجعة")</x:f>
        <x:v>95</x:v>
      </x:c>
      <x:c r="C7" s="22" t="n">
        <x:f>100-COUNTIF('جهات التمويل والدعم'!I6:I105,"غير متاح في المصادر المراجعة")</x:f>
        <x:v>71</x:v>
      </x:c>
      <x:c r="D7" s="16"/>
      <x:c r="E7" s="16"/>
      <x:c r="F7" s="16"/>
      <x:c r="G7" s="16"/>
      <x:c r="H7" s="16"/>
    </x:row>
    <x:row r="8" ht="30" customHeight="1">
      <x:c r="A8" s="16" t="str">
        <x:v>يتوفر هاتف معلن</x:v>
      </x:c>
      <x:c r="B8" s="22" t="n">
        <x:f>100-COUNTIF('الشركات الناشئة'!H6:H105,"غير متاح في المصادر المراجعة")</x:f>
        <x:v>60</x:v>
      </x:c>
      <x:c r="C8" s="22" t="n">
        <x:f>100-COUNTIF('جهات التمويل والدعم'!J6:J105,"غير متاح في المصادر المراجعة")</x:f>
        <x:v>34</x:v>
      </x:c>
      <x:c r="D8" s="16"/>
      <x:c r="E8" s="16"/>
      <x:c r="F8" s="16"/>
      <x:c r="G8" s="16"/>
      <x:c r="H8" s="16"/>
    </x:row>
    <x:row r="9" ht="30" customHeight="1">
      <x:c r="A9" s="16" t="str">
        <x:v>يتوفر بريد وهاتف</x:v>
      </x:c>
      <x:c r="B9" s="22" t="n">
        <x:f>COUNTIFS('الشركات الناشئة'!G6:G105,"&lt;&gt;غير متاح في المصادر المراجعة",'الشركات الناشئة'!H6:H105,"&lt;&gt;غير متاح في المصادر المراجعة")</x:f>
        <x:v>59</x:v>
      </x:c>
      <x:c r="C9" s="22" t="n">
        <x:f>COUNTIFS('جهات التمويل والدعم'!I6:I105,"&lt;&gt;غير متاح في المصادر المراجعة",'جهات التمويل والدعم'!J6:J105,"&lt;&gt;غير متاح في المصادر المراجعة")</x:f>
        <x:v>27</x:v>
      </x:c>
      <x:c r="D9" s="16"/>
      <x:c r="E9" s="16"/>
      <x:c r="F9" s="16"/>
      <x:c r="G9" s="16"/>
      <x:c r="H9" s="16"/>
    </x:row>
    <x:row r="10" ht="30" customHeight="1">
      <x:c r="A10" s="16" t="str">
        <x:v>بريد من موقع الجهة / سجل رسمي</x:v>
      </x:c>
      <x:c r="B10" s="22" t="n">
        <x:f>COUNTIF('الشركات الناشئة'!Z6:Z105,"موقع الجهة أو قناة مرتبطة بها")+COUNTIF('الشركات الناشئة'!Z6:Z105,"سجل تنظيمي رسمي")</x:f>
        <x:v>80</x:v>
      </x:c>
      <x:c r="C10" s="22" t="n">
        <x:f>COUNTIF('جهات التمويل والدعم'!W6:W105,"موقع الجهة أو قناة مرتبطة بها")+COUNTIF('جهات التمويل والدعم'!W6:W105,"سجل تنظيمي رسمي")</x:f>
        <x:v>58</x:v>
      </x:c>
      <x:c r="D10" s="16"/>
      <x:c r="E10" s="16"/>
      <x:c r="F10" s="16"/>
      <x:c r="G10" s="16"/>
      <x:c r="H10" s="16"/>
    </x:row>
    <x:row r="11" ht="30" customHeight="1">
      <x:c r="A11" s="16" t="str">
        <x:v>بريد من مصدر ثانوي يحتاج تأكيداً</x:v>
      </x:c>
      <x:c r="B11" s="22" t="n">
        <x:f>COUNTIF('الشركات الناشئة'!Z6:Z105,"مصدر ثانوي؛ يلزم تأكيد مباشر")</x:f>
        <x:v>10</x:v>
      </x:c>
      <x:c r="C11" s="22" t="n">
        <x:f>COUNTIF('جهات التمويل والدعم'!W6:W105,"مصدر ثانوي؛ يلزم تأكيد مباشر")</x:f>
        <x:v>10</x:v>
      </x:c>
      <x:c r="D11" s="16"/>
      <x:c r="E11" s="16"/>
      <x:c r="F11" s="16"/>
      <x:c r="G11" s="16"/>
      <x:c r="H11" s="16"/>
    </x:row>
    <x:row r="12" ht="30" customHeight="1">
      <x:c r="A12" s="16" t="str">
        <x:v>جولة تمويل تاريخية موثقة</x:v>
      </x:c>
      <x:c r="B12" s="22" t="n">
        <x:f>100-COUNTIF('الشركات الناشئة'!L6:L105,"غير متاح في المصادر المراجعة")</x:f>
        <x:v>52</x:v>
      </x:c>
      <x:c r="C12" s="22" t="str">
        <x:v>لا ينطبق</x:v>
      </x:c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24" t="str">
        <x:v>نطاق النسخة الأولى</x:v>
      </x:c>
      <x:c r="B15" s="16"/>
      <x:c r="C15" s="16"/>
      <x:c r="D15" s="16"/>
      <x:c r="E15" s="16"/>
      <x:c r="F15" s="16"/>
      <x:c r="G15" s="16"/>
      <x:c r="H15" s="16"/>
    </x:row>
    <x:row r="16" ht="38" customHeight="1">
      <x:c r="A16" s="25" t="str">
        <x:v>شركات ناشئة ونامية لها مقر أو مكتب أو نشاط / إدراج إماراتي موثق. الحالات التي تتطلب تأكيد الوجود المحلي مميزة في الملاحظات.</x:v>
      </x:c>
      <x:c r="B16" s="25"/>
      <x:c r="C16" s="25"/>
      <x:c r="D16" s="25"/>
      <x:c r="E16" s="25"/>
      <x:c r="F16" s="25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24" t="str">
        <x:v>حالة الاستقطاب</x:v>
      </x:c>
      <x:c r="B18" s="16"/>
      <x:c r="C18" s="16"/>
      <x:c r="D18" s="16"/>
      <x:c r="E18" s="16"/>
      <x:c r="F18" s="16"/>
      <x:c r="G18" s="16"/>
      <x:c r="H18" s="16"/>
    </x:row>
    <x:row r="19" ht="38" customHeight="1">
      <x:c r="A19" s="25" t="str">
        <x:v>بدأت جميع السجلات بحالة «لم يتم التواصل». الحقل قابل للتحديث من القائمة المنسدلة. لم يُجرَ تواصل مع أي جهة.</x:v>
      </x:c>
      <x:c r="B19" s="25"/>
      <x:c r="C19" s="25"/>
      <x:c r="D19" s="25"/>
      <x:c r="E19" s="25"/>
      <x:c r="F19" s="25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24" t="str">
        <x:v>ما يحتاج استكمالاً</x:v>
      </x:c>
      <x:c r="B21" s="16"/>
      <x:c r="C21" s="16"/>
      <x:c r="D21" s="16"/>
      <x:c r="E21" s="16"/>
      <x:c r="F21" s="16"/>
      <x:c r="G21" s="16"/>
      <x:c r="H21" s="16"/>
    </x:row>
    <x:row r="22" ht="38" customHeight="1">
      <x:c r="A22" s="25" t="str">
        <x:v>تأكيد احتياجات التمويل الحالية للشركات، ونوافذ التقديم لدى الجهات، واستكمال الأرقام والبريد غير المنشور عبر قنوات التواصل البديلة.</x:v>
      </x:c>
      <x:c r="B22" s="25"/>
      <x:c r="C22" s="25"/>
      <x:c r="D22" s="25"/>
      <x:c r="E22" s="25"/>
      <x:c r="F22" s="25"/>
      <x:c r="G22" s="16"/>
      <x:c r="H22" s="16"/>
    </x:row>
    <x:row r="23">
      <x:c r="A23" s="16"/>
      <x:c r="B23" s="16"/>
      <x:c r="C23" s="16"/>
      <x:c r="D23" s="16"/>
      <x:c r="E23" s="16"/>
      <x:c r="F23" s="16"/>
      <x:c r="G23" s="16"/>
      <x:c r="H23" s="16"/>
    </x:row>
    <x:row r="24">
      <x:c r="A24" s="24" t="str">
        <x:v>قراءة المصادر</x:v>
      </x:c>
      <x:c r="B24" s="16"/>
      <x:c r="C24" s="16"/>
      <x:c r="D24" s="16"/>
      <x:c r="E24" s="16"/>
      <x:c r="F24" s="16"/>
      <x:c r="G24" s="16"/>
      <x:c r="H24" s="16"/>
    </x:row>
    <x:row r="25" ht="38" customHeight="1">
      <x:c r="A25" s="25" t="str">
        <x:v>توجد مصادر مستقلة للبريد والهاتف داخل كل قائمة، مع توضيح نوع المصدر. نشر العنوان لا يثبت صلاحية البريد أو الرد على الهاتف.</x:v>
      </x:c>
      <x:c r="B25" s="25"/>
      <x:c r="C25" s="25"/>
      <x:c r="D25" s="25"/>
      <x:c r="E25" s="25"/>
      <x:c r="F25" s="25"/>
      <x:c r="G25" s="16"/>
      <x:c r="H25" s="16"/>
    </x:row>
    <x:row r="26">
      <x:c r="A26" s="16"/>
      <x:c r="B26" s="16"/>
      <x:c r="C26" s="16"/>
      <x:c r="D26" s="16"/>
      <x:c r="E26" s="16"/>
      <x:c r="F26" s="16"/>
      <x:c r="G26" s="16"/>
      <x:c r="H26" s="16"/>
    </x:row>
  </x:sheetData>
  <x:mergeCells>
    <x:mergeCell ref="A16:F16"/>
    <x:mergeCell ref="A19:F19"/>
    <x:mergeCell ref="A22:F22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4" hidden="0" customWidth="1"/>
    <x:col min="4" max="4" width="25" hidden="0" customWidth="1"/>
    <x:col min="5" max="5" width="15" hidden="0" customWidth="1"/>
    <x:col min="6" max="6" width="46" hidden="0" customWidth="1"/>
    <x:col min="7" max="7" width="36" hidden="0" customWidth="1"/>
    <x:col min="8" max="8" width="24" hidden="0" customWidth="1"/>
    <x:col min="9" max="9" width="36" hidden="0" customWidth="1"/>
    <x:col min="10" max="10" width="43" hidden="0" customWidth="1"/>
    <x:col min="11" max="11" width="36" hidden="0" customWidth="1"/>
    <x:col min="12" max="12" width="28" hidden="0" customWidth="1"/>
    <x:col min="13" max="13" width="22" hidden="0" customWidth="1"/>
    <x:col min="14" max="14" width="24" hidden="0" customWidth="1"/>
    <x:col min="15" max="15" width="58" hidden="0" customWidth="1"/>
    <x:col min="16" max="16" width="28" hidden="0" customWidth="1"/>
    <x:col min="17" max="17" width="57" hidden="0" customWidth="1"/>
    <x:col min="18" max="18" width="70" hidden="0" customWidth="1"/>
    <x:col min="19" max="19" width="18" hidden="0" customWidth="1"/>
    <x:col min="20" max="20" width="43" hidden="0" customWidth="1"/>
    <x:col min="21" max="21" width="43" hidden="0" customWidth="1"/>
    <x:col min="22" max="22" width="43" hidden="0" customWidth="1"/>
    <x:col min="23" max="23" width="43" hidden="0" customWidth="1"/>
    <x:col min="24" max="24" width="43" hidden="0" customWidth="1"/>
    <x:col min="25" max="25" width="43" hidden="0" customWidth="1"/>
    <x:col min="26" max="26" width="38" hidden="0" customWidth="1"/>
    <x:col min="27" max="27" width="38" hidden="0" customWidth="1"/>
  </x:cols>
  <x:sheetData>
    <x:row r="1" ht="10" customHeight="1"/>
    <x:row r="2">
      <x:c r="A2" s="1" t="str">
        <x:v>الشركات الناشئة والنامية في الإمارات</x:v>
      </x:c>
    </x:row>
    <x:row r="3">
      <x:c r="A3" s="2" t="str">
        <x:v>100 شركة. جولات التمويل تاريخية موثقة وقد لا تكون الأحدث. حالة جمع التمويل الحالية تحتاج تأكيداً.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</x:row>
    <x:row r="5" ht="45" customHeight="1">
      <x:c r="A5" s="9" t="str">
        <x:v>المعرّف</x:v>
      </x:c>
      <x:c r="B5" s="9" t="str">
        <x:v>اسم الشركة</x:v>
      </x:c>
      <x:c r="C5" s="9" t="str">
        <x:v>الإمارة / المدينة</x:v>
      </x:c>
      <x:c r="D5" s="9" t="str">
        <x:v>القطاع</x:v>
      </x:c>
      <x:c r="E5" s="9" t="str">
        <x:v>سنة التأسيس</x:v>
      </x:c>
      <x:c r="F5" s="9" t="str">
        <x:v>مؤسسون مذكورون بالمصادر</x:v>
      </x:c>
      <x:c r="G5" s="9" t="str">
        <x:v>البريد الإلكتروني</x:v>
      </x:c>
      <x:c r="H5" s="9" t="str">
        <x:v>هاتف مؤسسي معلن</x:v>
      </x:c>
      <x:c r="I5" s="9" t="str">
        <x:v>نوع قناة البريد</x:v>
      </x:c>
      <x:c r="J5" s="9" t="str">
        <x:v>الموقع الإلكتروني</x:v>
      </x:c>
      <x:c r="K5" s="9" t="str">
        <x:v>جمع تمويل حالياً</x:v>
      </x:c>
      <x:c r="L5" s="9" t="str">
        <x:v>جولة موثقة في المصادر</x:v>
      </x:c>
      <x:c r="M5" s="9" t="str">
        <x:v>مبلغ الجولة USD</x:v>
      </x:c>
      <x:c r="N5" s="9" t="str">
        <x:v>تاريخ الجولة المنشور</x:v>
      </x:c>
      <x:c r="O5" s="9" t="str">
        <x:v>ملاحظة التمويل</x:v>
      </x:c>
      <x:c r="P5" s="9" t="str">
        <x:v>حالة الاستقطاب / التواصل</x:v>
      </x:c>
      <x:c r="Q5" s="9" t="str">
        <x:v>الإجراء التالي</x:v>
      </x:c>
      <x:c r="R5" s="9" t="str">
        <x:v>ملاحظات التحقق</x:v>
      </x:c>
      <x:c r="S5" s="9" t="str">
        <x:v>تاريخ المراجعة</x:v>
      </x:c>
      <x:c r="T5" s="9" t="str">
        <x:v>مصدر البيانات الأساسية</x:v>
      </x:c>
      <x:c r="U5" s="9" t="str">
        <x:v>مصدر المؤسسين</x:v>
      </x:c>
      <x:c r="V5" s="9" t="str">
        <x:v>مصدر جولة التمويل</x:v>
      </x:c>
      <x:c r="W5" s="9" t="str">
        <x:v>مصدر البريد</x:v>
      </x:c>
      <x:c r="X5" s="9" t="str">
        <x:v>مصدر الهاتف</x:v>
      </x:c>
      <x:c r="Y5" s="9" t="str">
        <x:v>صفحة التواصل البديلة</x:v>
      </x:c>
      <x:c r="Z5" s="9" t="str">
        <x:v>نوع مصدر البريد</x:v>
      </x:c>
      <x:c r="AA5" s="9" t="str">
        <x:v>نوع مصدر الهاتف</x:v>
      </x:c>
    </x:row>
    <x:row r="6" ht="45" customHeight="1">
      <x:c r="A6" s="10" t="str">
        <x:v>S001</x:v>
      </x:c>
      <x:c r="B6" s="6" t="str">
        <x:v>Alaan</x:v>
      </x:c>
      <x:c r="C6" s="6" t="str">
        <x:v>دبي</x:v>
      </x:c>
      <x:c r="D6" s="6" t="str">
        <x:v>التقنية المالية</x:v>
      </x:c>
      <x:c r="E6" s="6" t="n">
        <x:v>2021</x:v>
      </x:c>
      <x:c r="F6" s="6" t="str">
        <x:v>Parthi Duraisamy</x:v>
      </x:c>
      <x:c r="G6" s="6" t="str">
        <x:v>support@alaanpay.com</x:v>
      </x:c>
      <x:c r="H6" s="6" t="str">
        <x:v>+971 58 825 8554</x:v>
      </x:c>
      <x:c r="I6" s="6" t="str">
        <x:v>دعم / خدمة عملاء؛ اطلب التحويل</x:v>
      </x:c>
      <x:c r="J6" s="14" t="e">
        <x:f>HYPERLINK("https://alaan.com","alaan.com")</x:f>
        <x:v>HYPERLINK is not implemented. linkLocation=https://alaan.com, friendlyName=alaan.com</x:v>
      </x:c>
      <x:c r="K6" s="6" t="str">
        <x:v>غير مؤكد من المصادر المراجعة</x:v>
      </x:c>
      <x:c r="L6" s="6" t="str">
        <x:v>Series A</x:v>
      </x:c>
      <x:c r="M6" s="12" t="n">
        <x:v>48000000</x:v>
      </x:c>
      <x:c r="N6" s="6" t="str">
        <x:v>2025-08-05</x:v>
      </x:c>
      <x:c r="O6" s="6" t="str">
        <x:v>استثمار معلن</x:v>
      </x:c>
      <x:c r="P6" s="13" t="str">
        <x:v>لم يتم التواصل</x:v>
      </x:c>
      <x:c r="Q6" s="6" t="str">
        <x:v>تأكيد بيانات الشركة واحتياجها للتمويل / المشاركة</x:v>
      </x:c>
      <x:c r="R6" s="6" t="str"/>
      <x:c r="S6" s="11" t="d">
        <x:v>2026-10-22T06:00:00.000Z</x:v>
      </x:c>
      <x:c r="T6" s="14" t="e">
        <x:f>HYPERLINK("https://alainfinance.ae/wp-content/uploads/2021/01/CSC-AAF.pdf","alainfinance.ae")</x:f>
        <x:v>HYPERLINK is not implemented. linkLocation=https://alainfinance.ae/wp-content/uploads/2021/01/CSC-AAF.pdf, friendlyName=alainfinance.ae</x:v>
      </x:c>
      <x:c r="U6" s="14" t="str">
        <x:v>https://www.alaan.com/press-releases/alaan-raises-48-million
https://www.alaan.com/blog/introduction-to-alaan
https://www.wamda.com/index.php/en/2025/08/alaan-raises-48-million-series-transform-spend-management-mena</x:v>
      </x:c>
      <x:c r="V6" s="14" t="e">
        <x:f>HYPERLINK("https://www.alaan.com/press-releases/alaan-raises-48-million","alaan.com")</x:f>
        <x:v>HYPERLINK is not implemented. linkLocation=https://www.alaan.com/press-releases/alaan-raises-48-million, friendlyName=alaan.com</x:v>
      </x:c>
      <x:c r="W6" s="14" t="e">
        <x:f>HYPERLINK("https://www.alaan.com/contact-us","alaan.com")</x:f>
        <x:v>HYPERLINK is not implemented. linkLocation=https://www.alaan.com/contact-us, friendlyName=alaan.com</x:v>
      </x:c>
      <x:c r="X6" s="14" t="e">
        <x:f>HYPERLINK("https://www.alaan.com/contact-us","alaan.com")</x:f>
        <x:v>HYPERLINK is not implemented. linkLocation=https://www.alaan.com/contact-us, friendlyName=alaan.com</x:v>
      </x:c>
      <x:c r="Y6" s="14" t="e">
        <x:f>HYPERLINK("https://www.alaan.com/contact-us","alaan.com")</x:f>
        <x:v>HYPERLINK is not implemented. linkLocation=https://www.alaan.com/contact-us, friendlyName=alaan.com</x:v>
      </x:c>
      <x:c r="Z6" s="6" t="str">
        <x:v>موقع الجهة أو قناة مرتبطة بها</x:v>
      </x:c>
      <x:c r="AA6" s="6" t="str">
        <x:v>موقع الجهة أو قناة مرتبطة بها</x:v>
      </x:c>
    </x:row>
    <x:row r="7" ht="45" customHeight="1">
      <x:c r="A7" s="10" t="str">
        <x:v>S002</x:v>
      </x:c>
      <x:c r="B7" s="6" t="str">
        <x:v>Appro</x:v>
      </x:c>
      <x:c r="C7" s="6" t="str">
        <x:v>دبي</x:v>
      </x:c>
      <x:c r="D7" s="6" t="str">
        <x:v>التقنية المالية</x:v>
      </x:c>
      <x:c r="E7" s="6" t="n">
        <x:v>2022</x:v>
      </x:c>
      <x:c r="F7" s="6" t="str">
        <x:v>Iftekhar Salim; Tarek Osman; Antofelix Sundarraj</x:v>
      </x:c>
      <x:c r="G7" s="6" t="str">
        <x:v>support@appro.ae</x:v>
      </x:c>
      <x:c r="H7" s="6" t="str">
        <x:v>+971 4 433 9728</x:v>
      </x:c>
      <x:c r="I7" s="6" t="str">
        <x:v>دعم / خدمة عملاء؛ اطلب التحويل</x:v>
      </x:c>
      <x:c r="J7" s="14" t="e">
        <x:f>HYPERLINK("https://appro.ae","appro.ae")</x:f>
        <x:v>HYPERLINK is not implemented. linkLocation=https://appro.ae, friendlyName=appro.ae</x:v>
      </x:c>
      <x:c r="K7" s="6" t="str">
        <x:v>غير مؤكد من المصادر المراجعة</x:v>
      </x:c>
      <x:c r="L7" s="6" t="str">
        <x:v>غير متاح في المصادر المراجعة</x:v>
      </x:c>
      <x:c r="M7" s="12" t="str">
        <x:v>غير متاح في المصادر المراجعة</x:v>
      </x:c>
      <x:c r="N7" s="6" t="str">
        <x:v>غير متاح في المصادر المراجعة</x:v>
      </x:c>
      <x:c r="O7" s="6" t="str">
        <x:v>لا توجد جولة محددة موثقة ضمن هذه المراجعة</x:v>
      </x:c>
      <x:c r="P7" s="13" t="str">
        <x:v>لم يتم التواصل</x:v>
      </x:c>
      <x:c r="Q7" s="6" t="str">
        <x:v>تأكيد بيانات الشركة واحتياجها للتمويل / المشاركة</x:v>
      </x:c>
      <x:c r="R7" s="6" t="str"/>
      <x:c r="S7" s="11" t="d">
        <x:v>2026-10-22T06:00:00.000Z</x:v>
      </x:c>
      <x:c r="T7" s="14" t="e">
        <x:f>HYPERLINK("https://appro.ae/","appro.ae")</x:f>
        <x:v>HYPERLINK is not implemented. linkLocation=https://appro.ae/, friendlyName=appro.ae</x:v>
      </x:c>
      <x:c r="U7" s="14" t="str">
        <x:v>https://uaefintech.co/company/appro/
https://www.fintechfutures.com/venture-capital-funding/sc-ventures-launches-digital-onboarding-platform-appro-in-uae
https://scventures.io/?p=15160</x:v>
      </x:c>
      <x:c r="V7" s="14" t="str">
        <x:v>غير متاح في المصادر المراجعة</x:v>
      </x:c>
      <x:c r="W7" s="14" t="e">
        <x:f>HYPERLINK("https://appro.ae/contact","appro.ae")</x:f>
        <x:v>HYPERLINK is not implemented. linkLocation=https://appro.ae/contact, friendlyName=appro.ae</x:v>
      </x:c>
      <x:c r="X7" s="14" t="e">
        <x:f>HYPERLINK("https://appro.ae/contact","appro.ae")</x:f>
        <x:v>HYPERLINK is not implemented. linkLocation=https://appro.ae/contact, friendlyName=appro.ae</x:v>
      </x:c>
      <x:c r="Y7" s="14" t="e">
        <x:f>HYPERLINK("https://appro.ae/contact","appro.ae")</x:f>
        <x:v>HYPERLINK is not implemented. linkLocation=https://appro.ae/contact, friendlyName=appro.ae</x:v>
      </x:c>
      <x:c r="Z7" s="6" t="str">
        <x:v>موقع الجهة أو قناة مرتبطة بها</x:v>
      </x:c>
      <x:c r="AA7" s="6" t="str">
        <x:v>موقع الجهة أو قناة مرتبطة بها</x:v>
      </x:c>
    </x:row>
    <x:row r="8" ht="45" customHeight="1">
      <x:c r="A8" s="10" t="str">
        <x:v>S003</x:v>
      </x:c>
      <x:c r="B8" s="6" t="str">
        <x:v>BioSapien</x:v>
      </x:c>
      <x:c r="C8" s="6" t="str">
        <x:v>أبوظبي</x:v>
      </x:c>
      <x:c r="D8" s="6" t="str">
        <x:v>التقنية الحيوية</x:v>
      </x:c>
      <x:c r="E8" s="6" t="n">
        <x:v>2018</x:v>
      </x:c>
      <x:c r="F8" s="6" t="str">
        <x:v>Khatija Ali</x:v>
      </x:c>
      <x:c r="G8" s="6" t="str">
        <x:v>media@biosapien.com</x:v>
      </x:c>
      <x:c r="H8" s="6" t="str">
        <x:v>غير متاح في المصادر المراجعة</x:v>
      </x:c>
      <x:c r="I8" s="6" t="str">
        <x:v>إعلام؛ اطلب تحويلك للفريق المختص</x:v>
      </x:c>
      <x:c r="J8" s="14" t="e">
        <x:f>HYPERLINK("https://biosapien.com","biosapien.com")</x:f>
        <x:v>HYPERLINK is not implemented. linkLocation=https://biosapien.com, friendlyName=biosapien.com</x:v>
      </x:c>
      <x:c r="K8" s="6" t="str">
        <x:v>غير مؤكد من المصادر المراجعة</x:v>
      </x:c>
      <x:c r="L8" s="6" t="str">
        <x:v>Pre-Series A</x:v>
      </x:c>
      <x:c r="M8" s="12" t="n">
        <x:v>7000000</x:v>
      </x:c>
      <x:c r="N8" s="6" t="str">
        <x:v>2025-01-27</x:v>
      </x:c>
      <x:c r="O8" s="6" t="str">
        <x:v>توسعة جولة</x:v>
      </x:c>
      <x:c r="P8" s="13" t="str">
        <x:v>لم يتم التواصل</x:v>
      </x:c>
      <x:c r="Q8" s="6" t="str">
        <x:v>تأكيد بيانات الشركة واحتياجها للتمويل / المشاركة</x:v>
      </x:c>
      <x:c r="R8" s="6" t="str"/>
      <x:c r="S8" s="11" t="d">
        <x:v>2026-10-22T06:00:00.000Z</x:v>
      </x:c>
      <x:c r="T8" s="14" t="e">
        <x:f>HYPERLINK("https://dharab.com/dbentry/biosapien/","dharab.com")</x:f>
        <x:v>HYPERLINK is not implemented. linkLocation=https://dharab.com/dbentry/biosapien/, friendlyName=dharab.com</x:v>
      </x:c>
      <x:c r="U8" s="14" t="str">
        <x:v>https://fintechnews.media/2025/07/uaes-biosapien-extends-pre-series-a-funding-round-to-over-8mln-with-new-investment-from-globivest/
https://pmes.app.swapcard.com/event/precisionmed-exhibition-and-summit-2024/exhibitor/RXhoaWJpdG9yXzE2OTY3MDA%3D
https://www.biosapien.com/news/uae-biotech-startup-biosapien-raises-7-million-pre-series-a-for-cancer-treatment-platform</x:v>
      </x:c>
      <x:c r="V8" s="14" t="e">
        <x:f>HYPERLINK("https://www.biosapien.com/news/uae-biotech-startup-biosapien-raises-7-million-pre-series-a-for-cancer-treatment-platform","biosapien.com")</x:f>
        <x:v>HYPERLINK is not implemented. linkLocation=https://www.biosapien.com/news/uae-biotech-startup-biosapien-raises-7-million-pre-series-a-for-cancer-treatment-platform, friendlyName=biosapien.com</x:v>
      </x:c>
      <x:c r="W8" s="14" t="e">
        <x:f>HYPERLINK("https://www.biosapien.com/terms-and-conditions","biosapien.com")</x:f>
        <x:v>HYPERLINK is not implemented. linkLocation=https://www.biosapien.com/terms-and-conditions, friendlyName=biosapien.com</x:v>
      </x:c>
      <x:c r="X8" s="14" t="str">
        <x:v>غير متاح في المصادر المراجعة</x:v>
      </x:c>
      <x:c r="Y8" s="14" t="e">
        <x:f>HYPERLINK("https://www.biosapien.com/","biosapien.com")</x:f>
        <x:v>HYPERLINK is not implemented. linkLocation=https://www.biosapien.com/, friendlyName=biosapien.com</x:v>
      </x:c>
      <x:c r="Z8" s="6" t="str">
        <x:v>موقع الجهة أو قناة مرتبطة بها</x:v>
      </x:c>
      <x:c r="AA8" s="6" t="str">
        <x:v>غير متاح في المصادر المراجعة</x:v>
      </x:c>
    </x:row>
    <x:row r="9" ht="45" customHeight="1">
      <x:c r="A9" s="10" t="str">
        <x:v>S004</x:v>
      </x:c>
      <x:c r="B9" s="6" t="str">
        <x:v>Disrupt-X</x:v>
      </x:c>
      <x:c r="C9" s="6" t="str">
        <x:v>دبي</x:v>
      </x:c>
      <x:c r="D9" s="6" t="str">
        <x:v>إنترنت الأشياء</x:v>
      </x:c>
      <x:c r="E9" s="6" t="n">
        <x:v>2020</x:v>
      </x:c>
      <x:c r="F9" s="6" t="str">
        <x:v>Asim Sajwani</x:v>
      </x:c>
      <x:c r="G9" s="6" t="str">
        <x:v>info@disrupt-x.io</x:v>
      </x:c>
      <x:c r="H9" s="6" t="str">
        <x:v>+971 4 583 1579</x:v>
      </x:c>
      <x:c r="I9" s="6" t="str">
        <x:v>استفسارات عامة</x:v>
      </x:c>
      <x:c r="J9" s="14" t="e">
        <x:f>HYPERLINK("https://disrupt-x.io","disrupt-x.io")</x:f>
        <x:v>HYPERLINK is not implemented. linkLocation=https://disrupt-x.io, friendlyName=disrupt-x.io</x:v>
      </x:c>
      <x:c r="K9" s="6" t="str">
        <x:v>غير مؤكد من المصادر المراجعة</x:v>
      </x:c>
      <x:c r="L9" s="6" t="str">
        <x:v>غير متاح في المصادر المراجعة</x:v>
      </x:c>
      <x:c r="M9" s="12" t="str">
        <x:v>غير متاح في المصادر المراجعة</x:v>
      </x:c>
      <x:c r="N9" s="6" t="str">
        <x:v>غير متاح في المصادر المراجعة</x:v>
      </x:c>
      <x:c r="O9" s="6" t="str">
        <x:v>لا توجد جولة محددة موثقة ضمن هذه المراجعة</x:v>
      </x:c>
      <x:c r="P9" s="13" t="str">
        <x:v>لم يتم التواصل</x:v>
      </x:c>
      <x:c r="Q9" s="6" t="str">
        <x:v>تأكيد بيانات الشركة واحتياجها للتمويل / المشاركة</x:v>
      </x:c>
      <x:c r="R9" s="6" t="str"/>
      <x:c r="S9" s="11" t="d">
        <x:v>2026-10-22T06:00:00.000Z</x:v>
      </x:c>
      <x:c r="T9" s="14" t="e">
        <x:f>HYPERLINK("https://www.caplight.com/company/disrupt-x","caplight.com")</x:f>
        <x:v>HYPERLINK is not implemented. linkLocation=https://www.caplight.com/company/disrupt-x, friendlyName=caplight.com</x:v>
      </x:c>
      <x:c r="U9" s="14" t="str">
        <x:v>https://www.linkedin.com/posts/disruptxio_manholemonitoring-smartinfrastructure-activity-7215952843206250497-58fJ
https://disrupt-x.io/our-team/
https://iotm2mcouncil.org/iot-library/news/iot-newsdesk/disrupt-x-integrates-orbcomm-iot-services/</x:v>
      </x:c>
      <x:c r="V9" s="14" t="str">
        <x:v>غير متاح في المصادر المراجعة</x:v>
      </x:c>
      <x:c r="W9" s="14" t="e">
        <x:f>HYPERLINK("https://disrupt-x.io/pdf/DX_CompanyDeckProfile_2025.pdf","disrupt-x.io")</x:f>
        <x:v>HYPERLINK is not implemented. linkLocation=https://disrupt-x.io/pdf/DX_CompanyDeckProfile_2025.pdf, friendlyName=disrupt-x.io</x:v>
      </x:c>
      <x:c r="X9" s="14" t="e">
        <x:f>HYPERLINK("https://disrupt-x.io/pdf/DX_CompanyDeckProfile_2025.pdf","disrupt-x.io")</x:f>
        <x:v>HYPERLINK is not implemented. linkLocation=https://disrupt-x.io/pdf/DX_CompanyDeckProfile_2025.pdf, friendlyName=disrupt-x.io</x:v>
      </x:c>
      <x:c r="Y9" s="14" t="e">
        <x:f>HYPERLINK("https://disrupt-x.io/contact-us/","disrupt-x.io")</x:f>
        <x:v>HYPERLINK is not implemented. linkLocation=https://disrupt-x.io/contact-us/, friendlyName=disrupt-x.io</x:v>
      </x:c>
      <x:c r="Z9" s="6" t="str">
        <x:v>موقع الجهة أو قناة مرتبطة بها</x:v>
      </x:c>
      <x:c r="AA9" s="6" t="str">
        <x:v>موقع الجهة أو قناة مرتبطة بها</x:v>
      </x:c>
    </x:row>
    <x:row r="10" ht="45" customHeight="1">
      <x:c r="A10" s="10" t="str">
        <x:v>S005</x:v>
      </x:c>
      <x:c r="B10" s="6" t="str">
        <x:v>Eanan</x:v>
      </x:c>
      <x:c r="C10" s="6" t="str">
        <x:v>دبي</x:v>
      </x:c>
      <x:c r="D10" s="6" t="str">
        <x:v>الطائرات المسيّرة</x:v>
      </x:c>
      <x:c r="E10" s="6" t="n">
        <x:v>2022</x:v>
      </x:c>
      <x:c r="F10" s="6" t="str">
        <x:v>غير متاح في المصادر المراجعة</x:v>
      </x:c>
      <x:c r="G10" s="6" t="str">
        <x:v>info@eanan.ae</x:v>
      </x:c>
      <x:c r="H10" s="6" t="str">
        <x:v>+971 4 221 2030</x:v>
      </x:c>
      <x:c r="I10" s="6" t="str">
        <x:v>استفسارات عامة</x:v>
      </x:c>
      <x:c r="J10" s="14" t="e">
        <x:f>HYPERLINK("https://eanan.ae","eanan.ae")</x:f>
        <x:v>HYPERLINK is not implemented. linkLocation=https://eanan.ae, friendlyName=eanan.ae</x:v>
      </x:c>
      <x:c r="K10" s="6" t="str">
        <x:v>غير مؤكد من المصادر المراجعة</x:v>
      </x:c>
      <x:c r="L10" s="6" t="str">
        <x:v>غير متاح في المصادر المراجعة</x:v>
      </x:c>
      <x:c r="M10" s="12" t="str">
        <x:v>غير متاح في المصادر المراجعة</x:v>
      </x:c>
      <x:c r="N10" s="6" t="str">
        <x:v>غير متاح في المصادر المراجعة</x:v>
      </x:c>
      <x:c r="O10" s="6" t="str">
        <x:v>لا توجد جولة محددة موثقة ضمن هذه المراجعة</x:v>
      </x:c>
      <x:c r="P10" s="13" t="str">
        <x:v>لم يتم التواصل</x:v>
      </x:c>
      <x:c r="Q10" s="6" t="str">
        <x:v>تأكيد بيانات الشركة واحتياجها للتمويل / المشاركة</x:v>
      </x:c>
      <x:c r="R10" s="6" t="str"/>
      <x:c r="S10" s="11" t="d">
        <x:v>2026-10-22T06:00:00.000Z</x:v>
      </x:c>
      <x:c r="T10" s="14" t="e">
        <x:f>HYPERLINK("https://ai.paytabs.com/wp-content/uploads/2017/05/Future-100-1.pdf","ai.paytabs.com")</x:f>
        <x:v>HYPERLINK is not implemented. linkLocation=https://ai.paytabs.com/wp-content/uploads/2017/05/Future-100-1.pdf, friendlyName=ai.paytabs.com</x:v>
      </x:c>
      <x:c r="U10" s="14" t="str">
        <x:v>غير متاح في المصادر المراجعة</x:v>
      </x:c>
      <x:c r="V10" s="14" t="str">
        <x:v>غير متاح في المصادر المراجعة</x:v>
      </x:c>
      <x:c r="W10" s="14" t="e">
        <x:f>HYPERLINK("https://eanan.ae/contact/","eanan.ae")</x:f>
        <x:v>HYPERLINK is not implemented. linkLocation=https://eanan.ae/contact/, friendlyName=eanan.ae</x:v>
      </x:c>
      <x:c r="X10" s="14" t="e">
        <x:f>HYPERLINK("https://eanan.ae/contact/","eanan.ae")</x:f>
        <x:v>HYPERLINK is not implemented. linkLocation=https://eanan.ae/contact/, friendlyName=eanan.ae</x:v>
      </x:c>
      <x:c r="Y10" s="14" t="e">
        <x:f>HYPERLINK("https://eanan.ae/contact/","eanan.ae")</x:f>
        <x:v>HYPERLINK is not implemented. linkLocation=https://eanan.ae/contact/, friendlyName=eanan.ae</x:v>
      </x:c>
      <x:c r="Z10" s="6" t="str">
        <x:v>موقع الجهة أو قناة مرتبطة بها</x:v>
      </x:c>
      <x:c r="AA10" s="6" t="str">
        <x:v>موقع الجهة أو قناة مرتبطة بها</x:v>
      </x:c>
    </x:row>
    <x:row r="11" ht="45" customHeight="1">
      <x:c r="A11" s="10" t="str">
        <x:v>S006</x:v>
      </x:c>
      <x:c r="B11" s="6" t="str">
        <x:v>Egrobots</x:v>
      </x:c>
      <x:c r="C11" s="6" t="str">
        <x:v>الإمارات</x:v>
      </x:c>
      <x:c r="D11" s="6" t="str">
        <x:v>التقنية الزراعية</x:v>
      </x:c>
      <x:c r="E11" s="6" t="n">
        <x:v>2023</x:v>
      </x:c>
      <x:c r="F11" s="6" t="str">
        <x:v>غير متاح في المصادر المراجعة</x:v>
      </x:c>
      <x:c r="G11" s="6" t="str">
        <x:v>info@egrobots.com</x:v>
      </x:c>
      <x:c r="H11" s="6" t="str">
        <x:v>غير متاح في المصادر المراجعة</x:v>
      </x:c>
      <x:c r="I11" s="6" t="str">
        <x:v>استفسارات عامة</x:v>
      </x:c>
      <x:c r="J11" s="14" t="e">
        <x:f>HYPERLINK("https://egrobots.com","egrobots.com")</x:f>
        <x:v>HYPERLINK is not implemented. linkLocation=https://egrobots.com, friendlyName=egrobots.com</x:v>
      </x:c>
      <x:c r="K11" s="6" t="str">
        <x:v>غير مؤكد من المصادر المراجعة</x:v>
      </x:c>
      <x:c r="L11" s="6" t="str">
        <x:v>غير متاح في المصادر المراجعة</x:v>
      </x:c>
      <x:c r="M11" s="12" t="str">
        <x:v>غير متاح في المصادر المراجعة</x:v>
      </x:c>
      <x:c r="N11" s="6" t="str">
        <x:v>غير متاح في المصادر المراجعة</x:v>
      </x:c>
      <x:c r="O11" s="6" t="str">
        <x:v>لا توجد جولة محددة موثقة ضمن هذه المراجعة</x:v>
      </x:c>
      <x:c r="P11" s="13" t="str">
        <x:v>لم يتم التواصل</x:v>
      </x:c>
      <x:c r="Q11" s="6" t="str">
        <x:v>تأكيد بيانات الشركة واحتياجها للتمويل / المشاركة</x:v>
      </x:c>
      <x:c r="R11" s="6" t="str">
        <x:v>مدرجة في Future 100؛ الموقع يعرض نشاطاً بمصر والسعودية. يلزم تأكيد المكتب الإماراتي الحالي.</x:v>
      </x:c>
      <x:c r="S11" s="11" t="d">
        <x:v>2026-10-22T06:00:00.000Z</x:v>
      </x:c>
      <x:c r="T11" s="14" t="e">
        <x:f>HYPERLINK("https://robottoday.com/suppliers-discovery/egrobots","robottoday.com")</x:f>
        <x:v>HYPERLINK is not implemented. linkLocation=https://robottoday.com/suppliers-discovery/egrobots, friendlyName=robottoday.com</x:v>
      </x:c>
      <x:c r="U11" s="14" t="str">
        <x:v>غير متاح في المصادر المراجعة</x:v>
      </x:c>
      <x:c r="V11" s="14" t="str">
        <x:v>غير متاح في المصادر المراجعة</x:v>
      </x:c>
      <x:c r="W11" s="14" t="e">
        <x:f>HYPERLINK("https://egrobots.com/en","egrobots.com")</x:f>
        <x:v>HYPERLINK is not implemented. linkLocation=https://egrobots.com/en, friendlyName=egrobots.com</x:v>
      </x:c>
      <x:c r="X11" s="14" t="str">
        <x:v>غير متاح في المصادر المراجعة</x:v>
      </x:c>
      <x:c r="Y11" s="14" t="e">
        <x:f>HYPERLINK("https://egrobots.com/en","egrobots.com")</x:f>
        <x:v>HYPERLINK is not implemented. linkLocation=https://egrobots.com/en, friendlyName=egrobots.com</x:v>
      </x:c>
      <x:c r="Z11" s="6" t="str">
        <x:v>موقع الجهة أو قناة مرتبطة بها</x:v>
      </x:c>
      <x:c r="AA11" s="6" t="str">
        <x:v>غير متاح في المصادر المراجعة</x:v>
      </x:c>
    </x:row>
    <x:row r="12" ht="45" customHeight="1">
      <x:c r="A12" s="10" t="str">
        <x:v>S007</x:v>
      </x:c>
      <x:c r="B12" s="6" t="str">
        <x:v>eJaby</x:v>
      </x:c>
      <x:c r="C12" s="6" t="str">
        <x:v>دبي</x:v>
      </x:c>
      <x:c r="D12" s="6" t="str">
        <x:v>التجارة المستدامة</x:v>
      </x:c>
      <x:c r="E12" s="6" t="n">
        <x:v>2022</x:v>
      </x:c>
      <x:c r="F12" s="6" t="str">
        <x:v>Maxim Haartsen; Menna Shahin</x:v>
      </x:c>
      <x:c r="G12" s="6" t="str">
        <x:v>info@ejaby.io</x:v>
      </x:c>
      <x:c r="H12" s="6" t="str">
        <x:v>+971 50 661 9757</x:v>
      </x:c>
      <x:c r="I12" s="6" t="str">
        <x:v>استفسارات عامة</x:v>
      </x:c>
      <x:c r="J12" s="14" t="e">
        <x:f>HYPERLINK("https://ejaby.io","ejaby.io")</x:f>
        <x:v>HYPERLINK is not implemented. linkLocation=https://ejaby.io, friendlyName=ejaby.io</x:v>
      </x:c>
      <x:c r="K12" s="6" t="str">
        <x:v>غير مؤكد من المصادر المراجعة</x:v>
      </x:c>
      <x:c r="L12" s="6" t="str">
        <x:v>غير متاح في المصادر المراجعة</x:v>
      </x:c>
      <x:c r="M12" s="12" t="str">
        <x:v>غير متاح في المصادر المراجعة</x:v>
      </x:c>
      <x:c r="N12" s="6" t="str">
        <x:v>غير متاح في المصادر المراجعة</x:v>
      </x:c>
      <x:c r="O12" s="6" t="str">
        <x:v>لا توجد جولة محددة موثقة ضمن هذه المراجعة</x:v>
      </x:c>
      <x:c r="P12" s="13" t="str">
        <x:v>لم يتم التواصل</x:v>
      </x:c>
      <x:c r="Q12" s="6" t="str">
        <x:v>تأكيد بيانات الشركة واحتياجها للتمويل / المشاركة</x:v>
      </x:c>
      <x:c r="R12" s="6" t="str"/>
      <x:c r="S12" s="11" t="d">
        <x:v>2026-10-22T06:00:00.000Z</x:v>
      </x:c>
      <x:c r="T12" s="14" t="e">
        <x:f>HYPERLINK("https://www.linkedin.com/company/tekeya","linkedin.com")</x:f>
        <x:v>HYPERLINK is not implemented. linkLocation=https://www.linkedin.com/company/tekeya, friendlyName=linkedin.com</x:v>
      </x:c>
      <x:c r="U12" s="14" t="str">
        <x:v>https://www.crunchbase.com/organization/tekeya
https://www.linkedin.com/company/tekeya
https://ae.linkedin.com/company/tekeya</x:v>
      </x:c>
      <x:c r="V12" s="14" t="str">
        <x:v>غير متاح في المصادر المراجعة</x:v>
      </x:c>
      <x:c r="W12" s="14" t="e">
        <x:f>HYPERLINK("https://ejaby.io/terms","ejaby.io")</x:f>
        <x:v>HYPERLINK is not implemented. linkLocation=https://ejaby.io/terms, friendlyName=ejaby.io</x:v>
      </x:c>
      <x:c r="X12" s="14" t="e">
        <x:f>HYPERLINK("https://play.google.com/store/apps/details?id=io.tekeya","play.google.com")</x:f>
        <x:v>HYPERLINK is not implemented. linkLocation=https://play.google.com/store/apps/details?id=io.tekeya, friendlyName=play.google.com</x:v>
      </x:c>
      <x:c r="Y12" s="14" t="e">
        <x:f>HYPERLINK("https://ejaby.io/terms","ejaby.io")</x:f>
        <x:v>HYPERLINK is not implemented. linkLocation=https://ejaby.io/terms, friendlyName=ejaby.io</x:v>
      </x:c>
      <x:c r="Z12" s="6" t="str">
        <x:v>موقع الجهة أو قناة مرتبطة بها</x:v>
      </x:c>
      <x:c r="AA12" s="6" t="str">
        <x:v>قائمة تطبيق ينشرها المطور</x:v>
      </x:c>
    </x:row>
    <x:row r="13" ht="45" customHeight="1">
      <x:c r="A13" s="10" t="str">
        <x:v>S008</x:v>
      </x:c>
      <x:c r="B13" s="6" t="str">
        <x:v>Emotech</x:v>
      </x:c>
      <x:c r="C13" s="6" t="str">
        <x:v>أبوظبي</x:v>
      </x:c>
      <x:c r="D13" s="6" t="str">
        <x:v>الذكاء الاصطناعي</x:v>
      </x:c>
      <x:c r="E13" s="6" t="n">
        <x:v>2022</x:v>
      </x:c>
      <x:c r="F13" s="6" t="str">
        <x:v>غير متاح في المصادر المراجعة</x:v>
      </x:c>
      <x:c r="G13" s="6" t="str">
        <x:v>info@emotech.co</x:v>
      </x:c>
      <x:c r="H13" s="6" t="str">
        <x:v>غير متاح في المصادر المراجعة</x:v>
      </x:c>
      <x:c r="I13" s="6" t="str">
        <x:v>استفسارات عامة</x:v>
      </x:c>
      <x:c r="J13" s="14" t="e">
        <x:f>HYPERLINK("https://emotech.ai","emotech.ai")</x:f>
        <x:v>HYPERLINK is not implemented. linkLocation=https://emotech.ai, friendlyName=emotech.ai</x:v>
      </x:c>
      <x:c r="K13" s="6" t="str">
        <x:v>غير مؤكد من المصادر المراجعة</x:v>
      </x:c>
      <x:c r="L13" s="6" t="str">
        <x:v>غير متاح في المصادر المراجعة</x:v>
      </x:c>
      <x:c r="M13" s="12" t="str">
        <x:v>غير متاح في المصادر المراجعة</x:v>
      </x:c>
      <x:c r="N13" s="6" t="str">
        <x:v>غير متاح في المصادر المراجعة</x:v>
      </x:c>
      <x:c r="O13" s="6" t="str">
        <x:v>لا توجد جولة محددة موثقة ضمن هذه المراجعة</x:v>
      </x:c>
      <x:c r="P13" s="13" t="str">
        <x:v>لم يتم التواصل</x:v>
      </x:c>
      <x:c r="Q13" s="6" t="str">
        <x:v>تأكيد بيانات الشركة واحتياجها للتمويل / المشاركة</x:v>
      </x:c>
      <x:c r="R13" s="6" t="str"/>
      <x:c r="S13" s="11" t="d">
        <x:v>2026-10-22T06:00:00.000Z</x:v>
      </x:c>
      <x:c r="T13" s="14" t="e">
        <x:f>HYPERLINK("https://www.uaesme.gov.ae/en/future-100-list","uaesme.gov.ae")</x:f>
        <x:v>HYPERLINK is not implemented. linkLocation=https://www.uaesme.gov.ae/en/future-100-list, friendlyName=uaesme.gov.ae</x:v>
      </x:c>
      <x:c r="U13" s="14" t="str">
        <x:v>غير متاح في المصادر المراجعة</x:v>
      </x:c>
      <x:c r="V13" s="14" t="str">
        <x:v>غير متاح في المصادر المراجعة</x:v>
      </x:c>
      <x:c r="W13" s="14" t="e">
        <x:f>HYPERLINK("https://emotech.ai/contact","emotech.ai")</x:f>
        <x:v>HYPERLINK is not implemented. linkLocation=https://emotech.ai/contact, friendlyName=emotech.ai</x:v>
      </x:c>
      <x:c r="X13" s="14" t="str">
        <x:v>غير متاح في المصادر المراجعة</x:v>
      </x:c>
      <x:c r="Y13" s="14" t="e">
        <x:f>HYPERLINK("https://emotech.ai/contact","emotech.ai")</x:f>
        <x:v>HYPERLINK is not implemented. linkLocation=https://emotech.ai/contact, friendlyName=emotech.ai</x:v>
      </x:c>
      <x:c r="Z13" s="6" t="str">
        <x:v>موقع الجهة أو قناة مرتبطة بها</x:v>
      </x:c>
      <x:c r="AA13" s="6" t="str">
        <x:v>غير متاح في المصادر المراجعة</x:v>
      </x:c>
    </x:row>
    <x:row r="14" ht="45" customHeight="1">
      <x:c r="A14" s="10" t="str">
        <x:v>S009</x:v>
      </x:c>
      <x:c r="B14" s="6" t="str">
        <x:v>Empeiria</x:v>
      </x:c>
      <x:c r="C14" s="6" t="str">
        <x:v>دبي</x:v>
      </x:c>
      <x:c r="D14" s="6" t="str">
        <x:v>الهوية الرقمية</x:v>
      </x:c>
      <x:c r="E14" s="6" t="n">
        <x:v>2022</x:v>
      </x:c>
      <x:c r="F14" s="6" t="str">
        <x:v>غير متاح في المصادر المراجعة</x:v>
      </x:c>
      <x:c r="G14" s="6" t="str">
        <x:v>partners@empe.io</x:v>
      </x:c>
      <x:c r="H14" s="6" t="str">
        <x:v>غير متاح في المصادر المراجعة</x:v>
      </x:c>
      <x:c r="I14" s="6" t="str">
        <x:v>شراكات / استفسارات أعمال</x:v>
      </x:c>
      <x:c r="J14" s="14" t="e">
        <x:f>HYPERLINK("https://empe.io","empe.io")</x:f>
        <x:v>HYPERLINK is not implemented. linkLocation=https://empe.io, friendlyName=empe.io</x:v>
      </x:c>
      <x:c r="K14" s="6" t="str">
        <x:v>غير مؤكد من المصادر المراجعة</x:v>
      </x:c>
      <x:c r="L14" s="6" t="str">
        <x:v>غير متاح في المصادر المراجعة</x:v>
      </x:c>
      <x:c r="M14" s="12" t="str">
        <x:v>غير متاح في المصادر المراجعة</x:v>
      </x:c>
      <x:c r="N14" s="6" t="str">
        <x:v>غير متاح في المصادر المراجعة</x:v>
      </x:c>
      <x:c r="O14" s="6" t="str">
        <x:v>لا توجد جولة محددة موثقة ضمن هذه المراجعة</x:v>
      </x:c>
      <x:c r="P14" s="13" t="str">
        <x:v>لم يتم التواصل</x:v>
      </x:c>
      <x:c r="Q14" s="6" t="str">
        <x:v>تأكيد بيانات الشركة واحتياجها للتمويل / المشاركة</x:v>
      </x:c>
      <x:c r="R14" s="6" t="str"/>
      <x:c r="S14" s="11" t="d">
        <x:v>2026-10-22T06:00:00.000Z</x:v>
      </x:c>
      <x:c r="T14" s="14" t="e">
        <x:f>HYPERLINK("https://future100.ae/report-2024","future100.ae")</x:f>
        <x:v>HYPERLINK is not implemented. linkLocation=https://future100.ae/report-2024, friendlyName=future100.ae</x:v>
      </x:c>
      <x:c r="U14" s="14" t="str">
        <x:v>غير متاح في المصادر المراجعة</x:v>
      </x:c>
      <x:c r="V14" s="14" t="str">
        <x:v>غير متاح في المصادر المراجعة</x:v>
      </x:c>
      <x:c r="W14" s="14" t="e">
        <x:f>HYPERLINK("https://exhibitor-manual-004.s3.ap-south-1.amazonaws.com/Production/exb_doc/2029/44369/Press_Release_Digita_Trust_API_Empeiria.pdf","exhibitor-manual-004.s3.ap-south-1.amazonaws.com")</x:f>
        <x:v>HYPERLINK is not implemented. linkLocation=https://exhibitor-manual-004.s3.ap-south-1.amazonaws.com/Production/exb_doc/2029/44369/Press_Release_Digita_Trust_API_Empeiria.pdf, friendlyName=exhibitor-manual-004.s3.ap-south-1.amazonaws.com</x:v>
      </x:c>
      <x:c r="X14" s="14" t="str">
        <x:v>غير متاح في المصادر المراجعة</x:v>
      </x:c>
      <x:c r="Y14" s="14" t="e">
        <x:f>HYPERLINK("https://empe.io/","empe.io")</x:f>
        <x:v>HYPERLINK is not implemented. linkLocation=https://empe.io/, friendlyName=empe.io</x:v>
      </x:c>
      <x:c r="Z14" s="6" t="str">
        <x:v>مصدر ثانوي؛ يلزم تأكيد مباشر</x:v>
      </x:c>
      <x:c r="AA14" s="6" t="str">
        <x:v>غير متاح في المصادر المراجعة</x:v>
      </x:c>
    </x:row>
    <x:row r="15" ht="45" customHeight="1">
      <x:c r="A15" s="10" t="str">
        <x:v>S010</x:v>
      </x:c>
      <x:c r="B15" s="6" t="str">
        <x:v>Ennoventure</x:v>
      </x:c>
      <x:c r="C15" s="6" t="str">
        <x:v>دبي</x:v>
      </x:c>
      <x:c r="D15" s="6" t="str">
        <x:v>مكافحة التزييف</x:v>
      </x:c>
      <x:c r="E15" s="6" t="n">
        <x:v>2018</x:v>
      </x:c>
      <x:c r="F15" s="6" t="str">
        <x:v>Padmakumar Nair</x:v>
      </x:c>
      <x:c r="G15" s="6" t="str">
        <x:v>info@ennoventure.com</x:v>
      </x:c>
      <x:c r="H15" s="6" t="str">
        <x:v>غير متاح في المصادر المراجعة</x:v>
      </x:c>
      <x:c r="I15" s="6" t="str">
        <x:v>استفسارات عامة</x:v>
      </x:c>
      <x:c r="J15" s="14" t="e">
        <x:f>HYPERLINK("https://ennoventure.com","ennoventure.com")</x:f>
        <x:v>HYPERLINK is not implemented. linkLocation=https://ennoventure.com, friendlyName=ennoventure.com</x:v>
      </x:c>
      <x:c r="K15" s="6" t="str">
        <x:v>غير مؤكد من المصادر المراجعة</x:v>
      </x:c>
      <x:c r="L15" s="6" t="str">
        <x:v>غير متاح في المصادر المراجعة</x:v>
      </x:c>
      <x:c r="M15" s="12" t="str">
        <x:v>غير متاح في المصادر المراجعة</x:v>
      </x:c>
      <x:c r="N15" s="6" t="str">
        <x:v>غير متاح في المصادر المراجعة</x:v>
      </x:c>
      <x:c r="O15" s="6" t="str">
        <x:v>لا توجد جولة محددة موثقة ضمن هذه المراجعة</x:v>
      </x:c>
      <x:c r="P15" s="13" t="str">
        <x:v>لم يتم التواصل</x:v>
      </x:c>
      <x:c r="Q15" s="6" t="str">
        <x:v>تأكيد بيانات الشركة واحتياجها للتمويل / المشاركة</x:v>
      </x:c>
      <x:c r="R15" s="6" t="str">
        <x:v>مقر عالمي بالولايات المتحدة ومكتب / مركز تطوير بدبي؛ ليست شركة إماراتية المقر حصراً.</x:v>
      </x:c>
      <x:c r="S15" s="11" t="d">
        <x:v>2026-10-22T06:00:00.000Z</x:v>
      </x:c>
      <x:c r="T15" s="14" t="e">
        <x:f>HYPERLINK("https://www.padmakumarnair.com/","padmakumarnair.com")</x:f>
        <x:v>HYPERLINK is not implemented. linkLocation=https://www.padmakumarnair.com/, friendlyName=padmakumarnair.com</x:v>
      </x:c>
      <x:c r="U15" s="14" t="str">
        <x:v>https://www.padmakumarnair.com/
https://mbrif.ae/member/ennoventure/
https://www.crunchbase.com/organization/ennoventure</x:v>
      </x:c>
      <x:c r="V15" s="14" t="str">
        <x:v>غير متاح في المصادر المراجعة</x:v>
      </x:c>
      <x:c r="W15" s="14" t="e">
        <x:f>HYPERLINK("https://www.padmakumarnair.com/","padmakumarnair.com")</x:f>
        <x:v>HYPERLINK is not implemented. linkLocation=https://www.padmakumarnair.com/, friendlyName=padmakumarnair.com</x:v>
      </x:c>
      <x:c r="X15" s="14" t="str">
        <x:v>غير متاح في المصادر المراجعة</x:v>
      </x:c>
      <x:c r="Y15" s="14" t="e">
        <x:f>HYPERLINK("https://ennoventure.com/contact","ennoventure.com")</x:f>
        <x:v>HYPERLINK is not implemented. linkLocation=https://ennoventure.com/contact, friendlyName=ennoventure.com</x:v>
      </x:c>
      <x:c r="Z15" s="6" t="str">
        <x:v>موقع الجهة أو قناة مرتبطة بها</x:v>
      </x:c>
      <x:c r="AA15" s="6" t="str">
        <x:v>غير متاح في المصادر المراجعة</x:v>
      </x:c>
    </x:row>
    <x:row r="16" ht="45" customHeight="1">
      <x:c r="A16" s="10" t="str">
        <x:v>S011</x:v>
      </x:c>
      <x:c r="B16" s="6" t="str">
        <x:v>Enrichly</x:v>
      </x:c>
      <x:c r="C16" s="6" t="str">
        <x:v>الإمارات — المدينة غير مؤكدة</x:v>
      </x:c>
      <x:c r="D16" s="6" t="str">
        <x:v>التقنية الصحية</x:v>
      </x:c>
      <x:c r="E16" s="6" t="n">
        <x:v>2021</x:v>
      </x:c>
      <x:c r="F16" s="6" t="str">
        <x:v>غير متاح في المصادر المراجعة</x:v>
      </x:c>
      <x:c r="G16" s="6" t="str">
        <x:v>info@enrichly.world</x:v>
      </x:c>
      <x:c r="H16" s="6" t="str">
        <x:v>غير متاح في المصادر المراجعة</x:v>
      </x:c>
      <x:c r="I16" s="6" t="str">
        <x:v>استفسارات عامة</x:v>
      </x:c>
      <x:c r="J16" s="14" t="e">
        <x:f>HYPERLINK("https://enrichly.world","enrichly.world")</x:f>
        <x:v>HYPERLINK is not implemented. linkLocation=https://enrichly.world, friendlyName=enrichly.world</x:v>
      </x:c>
      <x:c r="K16" s="6" t="str">
        <x:v>غير مؤكد من المصادر المراجعة</x:v>
      </x:c>
      <x:c r="L16" s="6" t="str">
        <x:v>غير متاح في المصادر المراجعة</x:v>
      </x:c>
      <x:c r="M16" s="12" t="str">
        <x:v>غير متاح في المصادر المراجعة</x:v>
      </x:c>
      <x:c r="N16" s="6" t="str">
        <x:v>غير متاح في المصادر المراجعة</x:v>
      </x:c>
      <x:c r="O16" s="6" t="str">
        <x:v>لا توجد جولة محددة موثقة ضمن هذه المراجعة</x:v>
      </x:c>
      <x:c r="P16" s="13" t="str">
        <x:v>لم يتم التواصل</x:v>
      </x:c>
      <x:c r="Q16" s="6" t="str">
        <x:v>تأكيد بيانات الشركة واحتياجها للتمويل / المشاركة</x:v>
      </x:c>
      <x:c r="R16" s="6" t="str">
        <x:v>أدرجت منصة الصحة / تقدير الذات enrichly.world؛ استبعدت ملفات لشركات أخرى بالاسم نفسه.</x:v>
      </x:c>
      <x:c r="S16" s="11" t="d">
        <x:v>2026-10-22T06:00:00.000Z</x:v>
      </x:c>
      <x:c r="T16" s="14" t="e">
        <x:f>HYPERLINK("https://future100.ae/report-2024","future100.ae")</x:f>
        <x:v>HYPERLINK is not implemented. linkLocation=https://future100.ae/report-2024, friendlyName=future100.ae</x:v>
      </x:c>
      <x:c r="U16" s="14" t="str">
        <x:v>غير متاح في المصادر المراجعة</x:v>
      </x:c>
      <x:c r="V16" s="14" t="str">
        <x:v>غير متاح في المصادر المراجعة</x:v>
      </x:c>
      <x:c r="W16" s="14" t="e">
        <x:f>HYPERLINK("https://www.enrichly.world/contact-4","enrichly.world")</x:f>
        <x:v>HYPERLINK is not implemented. linkLocation=https://www.enrichly.world/contact-4, friendlyName=enrichly.world</x:v>
      </x:c>
      <x:c r="X16" s="14" t="str">
        <x:v>غير متاح في المصادر المراجعة</x:v>
      </x:c>
      <x:c r="Y16" s="14" t="e">
        <x:f>HYPERLINK("https://www.enrichly.world/contact-4","enrichly.world")</x:f>
        <x:v>HYPERLINK is not implemented. linkLocation=https://www.enrichly.world/contact-4, friendlyName=enrichly.world</x:v>
      </x:c>
      <x:c r="Z16" s="6" t="str">
        <x:v>موقع الجهة أو قناة مرتبطة بها</x:v>
      </x:c>
      <x:c r="AA16" s="6" t="str">
        <x:v>غير متاح في المصادر المراجعة</x:v>
      </x:c>
    </x:row>
    <x:row r="17" ht="45" customHeight="1">
      <x:c r="A17" s="10" t="str">
        <x:v>S012</x:v>
      </x:c>
      <x:c r="B17" s="6" t="str">
        <x:v>RemotePass</x:v>
      </x:c>
      <x:c r="C17" s="6" t="str">
        <x:v>أبوظبي</x:v>
      </x:c>
      <x:c r="D17" s="6" t="str">
        <x:v>تقنية الموارد البشرية</x:v>
      </x:c>
      <x:c r="E17" s="6" t="n">
        <x:v>2020</x:v>
      </x:c>
      <x:c r="F17" s="6" t="str">
        <x:v>Kamal Reggad; Karim Nadi</x:v>
      </x:c>
      <x:c r="G17" s="6" t="str">
        <x:v>support@remotepass.com</x:v>
      </x:c>
      <x:c r="H17" s="6" t="str">
        <x:v>غير متاح في المصادر المراجعة</x:v>
      </x:c>
      <x:c r="I17" s="6" t="str">
        <x:v>دعم / خدمة عملاء؛ اطلب التحويل</x:v>
      </x:c>
      <x:c r="J17" s="14" t="e">
        <x:f>HYPERLINK("https://remotepass.com","remotepass.com")</x:f>
        <x:v>HYPERLINK is not implemented. linkLocation=https://remotepass.com, friendlyName=remotepass.com</x:v>
      </x:c>
      <x:c r="K17" s="6" t="str">
        <x:v>غير مؤكد من المصادر المراجعة</x:v>
      </x:c>
      <x:c r="L17" s="6" t="str">
        <x:v>Series B</x:v>
      </x:c>
      <x:c r="M17" s="12" t="n">
        <x:v>17400000</x:v>
      </x:c>
      <x:c r="N17" s="6" t="str">
        <x:v>غير متاح في المصادر المراجعة</x:v>
      </x:c>
      <x:c r="O17" s="6" t="str">
        <x:v>خبر منشور في غرفة أخبار الشركة</x:v>
      </x:c>
      <x:c r="P17" s="13" t="str">
        <x:v>لم يتم التواصل</x:v>
      </x:c>
      <x:c r="Q17" s="6" t="str">
        <x:v>تأكيد بيانات الشركة واحتياجها للتمويل / المشاركة</x:v>
      </x:c>
      <x:c r="R17" s="6" t="str">
        <x:v>غرفة أخبار الشركة تذكر تأسيس 2020؛ قائمة Future 100 تذكر 2021.</x:v>
      </x:c>
      <x:c r="S17" s="11" t="d">
        <x:v>2026-10-22T06:00:00.000Z</x:v>
      </x:c>
      <x:c r="T17" s="14" t="e">
        <x:f>HYPERLINK("https://newsroom.remotepass.com/about/","newsroom.remotepass.com")</x:f>
        <x:v>HYPERLINK is not implemented. linkLocation=https://newsroom.remotepass.com/about/, friendlyName=newsroom.remotepass.com</x:v>
      </x:c>
      <x:c r="U17" s="14" t="str">
        <x:v>https://newsroom.remotepass.com/238166-remotepass-simplifies-hr-and-payroll-for-uae-companies-with-new-direct-employee-feature/
https://newsroom.remotepass.com/about/
https://www.remotepass.com/about-us</x:v>
      </x:c>
      <x:c r="V17" s="14" t="e">
        <x:f>HYPERLINK("https://newsroom.remotepass.com/about/","newsroom.remotepass.com")</x:f>
        <x:v>HYPERLINK is not implemented. linkLocation=https://newsroom.remotepass.com/about/, friendlyName=newsroom.remotepass.com</x:v>
      </x:c>
      <x:c r="W17" s="14" t="e">
        <x:f>HYPERLINK("https://app.remotepass.com/","app.remotepass.com")</x:f>
        <x:v>HYPERLINK is not implemented. linkLocation=https://app.remotepass.com/, friendlyName=app.remotepass.com</x:v>
      </x:c>
      <x:c r="X17" s="14" t="str">
        <x:v>غير متاح في المصادر المراجعة</x:v>
      </x:c>
      <x:c r="Y17" s="14" t="e">
        <x:f>HYPERLINK("https://newsroom.remotepass.com/contact/","newsroom.remotepass.com")</x:f>
        <x:v>HYPERLINK is not implemented. linkLocation=https://newsroom.remotepass.com/contact/, friendlyName=newsroom.remotepass.com</x:v>
      </x:c>
      <x:c r="Z17" s="6" t="str">
        <x:v>موقع الجهة أو قناة مرتبطة بها</x:v>
      </x:c>
      <x:c r="AA17" s="6" t="str">
        <x:v>غير متاح في المصادر المراجعة</x:v>
      </x:c>
    </x:row>
    <x:row r="18" ht="45" customHeight="1">
      <x:c r="A18" s="10" t="str">
        <x:v>S013</x:v>
      </x:c>
      <x:c r="B18" s="6" t="str">
        <x:v>Revibe</x:v>
      </x:c>
      <x:c r="C18" s="6" t="str">
        <x:v>دبي</x:v>
      </x:c>
      <x:c r="D18" s="6" t="str">
        <x:v>الإلكترونيات المجددة</x:v>
      </x:c>
      <x:c r="E18" s="6" t="n">
        <x:v>2022</x:v>
      </x:c>
      <x:c r="F18" s="6" t="str">
        <x:v>غير متاح في المصادر المراجعة</x:v>
      </x:c>
      <x:c r="G18" s="6" t="str">
        <x:v>contact@revibe.me</x:v>
      </x:c>
      <x:c r="H18" s="6" t="str">
        <x:v>+971 4 459 7000</x:v>
      </x:c>
      <x:c r="I18" s="6" t="str">
        <x:v>استفسارات عامة</x:v>
      </x:c>
      <x:c r="J18" s="14" t="e">
        <x:f>HYPERLINK("https://revibe.ae","revibe.ae")</x:f>
        <x:v>HYPERLINK is not implemented. linkLocation=https://revibe.ae, friendlyName=revibe.ae</x:v>
      </x:c>
      <x:c r="K18" s="6" t="str">
        <x:v>غير مؤكد من المصادر المراجعة</x:v>
      </x:c>
      <x:c r="L18" s="6" t="str">
        <x:v>Series A</x:v>
      </x:c>
      <x:c r="M18" s="12" t="n">
        <x:v>7000000</x:v>
      </x:c>
      <x:c r="N18" s="6" t="str">
        <x:v>2024-12</x:v>
      </x:c>
      <x:c r="O18" s="6" t="str">
        <x:v>استثمار معلن</x:v>
      </x:c>
      <x:c r="P18" s="13" t="str">
        <x:v>لم يتم التواصل</x:v>
      </x:c>
      <x:c r="Q18" s="6" t="str">
        <x:v>تأكيد بيانات الشركة واحتياجها للتمويل / المشاركة</x:v>
      </x:c>
      <x:c r="R18" s="6" t="str"/>
      <x:c r="S18" s="11" t="d">
        <x:v>2026-10-22T06:00:00.000Z</x:v>
      </x:c>
      <x:c r="T18" s="14" t="e">
        <x:f>HYPERLINK("https://revibemd.com/wp-content/uploads/2022/09/RevibeMD-Mens-Health-Manual-09-19-2022.pdf","revibemd.com")</x:f>
        <x:v>HYPERLINK is not implemented. linkLocation=https://revibemd.com/wp-content/uploads/2022/09/RevibeMD-Mens-Health-Manual-09-19-2022.pdf, friendlyName=revibemd.com</x:v>
      </x:c>
      <x:c r="U18" s="14" t="str">
        <x:v>غير متاح في المصادر المراجعة</x:v>
      </x:c>
      <x:c r="V18" s="14" t="e">
        <x:f>HYPERLINK("https://www.wamda.com/en/2024/12/revibe-secures-7-million-series-a-expand-emerging-markets","wamda.com")</x:f>
        <x:v>HYPERLINK is not implemented. linkLocation=https://www.wamda.com/en/2024/12/revibe-secures-7-million-series-a-expand-emerging-markets, friendlyName=wamda.com</x:v>
      </x:c>
      <x:c r="W18" s="14" t="e">
        <x:f>HYPERLINK("https://www.revibe.ae/pages/contact-us","revibe.ae")</x:f>
        <x:v>HYPERLINK is not implemented. linkLocation=https://www.revibe.ae/pages/contact-us, friendlyName=revibe.ae</x:v>
      </x:c>
      <x:c r="X18" s="14" t="e">
        <x:f>HYPERLINK("https://www.revibe.ae/pages/contact-us","revibe.ae")</x:f>
        <x:v>HYPERLINK is not implemented. linkLocation=https://www.revibe.ae/pages/contact-us, friendlyName=revibe.ae</x:v>
      </x:c>
      <x:c r="Y18" s="14" t="e">
        <x:f>HYPERLINK("https://www.revibe.ae/pages/contact-us","revibe.ae")</x:f>
        <x:v>HYPERLINK is not implemented. linkLocation=https://www.revibe.ae/pages/contact-us, friendlyName=revibe.ae</x:v>
      </x:c>
      <x:c r="Z18" s="6" t="str">
        <x:v>موقع الجهة أو قناة مرتبطة بها</x:v>
      </x:c>
      <x:c r="AA18" s="6" t="str">
        <x:v>موقع الجهة أو قناة مرتبطة بها</x:v>
      </x:c>
    </x:row>
    <x:row r="19" ht="45" customHeight="1">
      <x:c r="A19" s="10" t="str">
        <x:v>S014</x:v>
      </x:c>
      <x:c r="B19" s="6" t="str">
        <x:v>Sav</x:v>
      </x:c>
      <x:c r="C19" s="6" t="str">
        <x:v>دبي</x:v>
      </x:c>
      <x:c r="D19" s="6" t="str">
        <x:v>التقنية المالية</x:v>
      </x:c>
      <x:c r="E19" s="6" t="str">
        <x:v>غير متاح في المصادر المراجعة</x:v>
      </x:c>
      <x:c r="F19" s="6" t="str">
        <x:v>Purvi Munot; Mithil Ajmera</x:v>
      </x:c>
      <x:c r="G19" s="6" t="str">
        <x:v>support@sav.money</x:v>
      </x:c>
      <x:c r="H19" s="6" t="str">
        <x:v>+971 55 435 6597</x:v>
      </x:c>
      <x:c r="I19" s="6" t="str">
        <x:v>دعم / خدمة عملاء؛ اطلب التحويل</x:v>
      </x:c>
      <x:c r="J19" s="14" t="e">
        <x:f>HYPERLINK("https://sav.money","sav.money")</x:f>
        <x:v>HYPERLINK is not implemented. linkLocation=https://sav.money, friendlyName=sav.money</x:v>
      </x:c>
      <x:c r="K19" s="6" t="str">
        <x:v>غير مؤكد من المصادر المراجعة</x:v>
      </x:c>
      <x:c r="L19" s="6" t="str">
        <x:v>Pre-Series A</x:v>
      </x:c>
      <x:c r="M19" s="12" t="n">
        <x:v>3500000</x:v>
      </x:c>
      <x:c r="N19" s="6" t="str">
        <x:v>2026-09</x:v>
      </x:c>
      <x:c r="O19" s="6" t="str">
        <x:v>استثمار معلن</x:v>
      </x:c>
      <x:c r="P19" s="13" t="str">
        <x:v>لم يتم التواصل</x:v>
      </x:c>
      <x:c r="Q19" s="6" t="str">
        <x:v>تأكيد بيانات الشركة واحتياجها للتمويل / المشاركة</x:v>
      </x:c>
      <x:c r="R19" s="6" t="str">
        <x:v>تعارض سنة التأسيس: 2022 في خبر التمويل و2024 في Future 100؛ لم تُحسم.</x:v>
      </x:c>
      <x:c r="S19" s="11" t="d">
        <x:v>2026-10-22T06:00:00.000Z</x:v>
      </x:c>
      <x:c r="T19" s="14" t="e">
        <x:f>HYPERLINK("https://sav.money/contact-us","sav.money")</x:f>
        <x:v>HYPERLINK is not implemented. linkLocation=https://sav.money/contact-us, friendlyName=sav.money</x:v>
      </x:c>
      <x:c r="U19" s="14" t="str">
        <x:v>https://www.wamda.com/index.php/en/2026/09/phoenix-venture-partners-leads-3-5-million-round-uae-fintech-sav
https://www.wamda.com/en/2023/03/uae-sav-raises-75000-pre-seed-round
https://en.incarabia.com/uae-fintech-sav-raises-us35-million-to-grow-its-product-offering-and-regional-footprint-890085.html</x:v>
      </x:c>
      <x:c r="V19" s="14" t="e">
        <x:f>HYPERLINK("https://www.wamda.com/index.php/en/2026/09/phoenix-venture-partners-leads-3-5-million-round-uae-fintech-sav","wamda.com")</x:f>
        <x:v>HYPERLINK is not implemented. linkLocation=https://www.wamda.com/index.php/en/2026/09/phoenix-venture-partners-leads-3-5-million-round-uae-fintech-sav, friendlyName=wamda.com</x:v>
      </x:c>
      <x:c r="W19" s="14" t="e">
        <x:f>HYPERLINK("https://sav.money/contact-us","sav.money")</x:f>
        <x:v>HYPERLINK is not implemented. linkLocation=https://sav.money/contact-us, friendlyName=sav.money</x:v>
      </x:c>
      <x:c r="X19" s="14" t="e">
        <x:f>HYPERLINK("https://sav.money/contact-us","sav.money")</x:f>
        <x:v>HYPERLINK is not implemented. linkLocation=https://sav.money/contact-us, friendlyName=sav.money</x:v>
      </x:c>
      <x:c r="Y19" s="14" t="e">
        <x:f>HYPERLINK("https://sav.money/contact-us","sav.money")</x:f>
        <x:v>HYPERLINK is not implemented. linkLocation=https://sav.money/contact-us, friendlyName=sav.money</x:v>
      </x:c>
      <x:c r="Z19" s="6" t="str">
        <x:v>موقع الجهة أو قناة مرتبطة بها</x:v>
      </x:c>
      <x:c r="AA19" s="6" t="str">
        <x:v>موقع الجهة أو قناة مرتبطة بها</x:v>
      </x:c>
    </x:row>
    <x:row r="20" ht="45" customHeight="1">
      <x:c r="A20" s="10" t="str">
        <x:v>S015</x:v>
      </x:c>
      <x:c r="B20" s="6" t="str">
        <x:v>Seramic Materials</x:v>
      </x:c>
      <x:c r="C20" s="6" t="str">
        <x:v>أبوظبي</x:v>
      </x:c>
      <x:c r="D20" s="6" t="str">
        <x:v>المواد المتقدمة</x:v>
      </x:c>
      <x:c r="E20" s="6" t="n">
        <x:v>2019</x:v>
      </x:c>
      <x:c r="F20" s="6" t="str">
        <x:v>غير متاح في المصادر المراجعة</x:v>
      </x:c>
      <x:c r="G20" s="6" t="str">
        <x:v>contact@seramic.eco</x:v>
      </x:c>
      <x:c r="H20" s="6" t="str">
        <x:v>+971 52 574 4288</x:v>
      </x:c>
      <x:c r="I20" s="6" t="str">
        <x:v>استفسارات عامة</x:v>
      </x:c>
      <x:c r="J20" s="14" t="e">
        <x:f>HYPERLINK("https://seramic.eco","seramic.eco")</x:f>
        <x:v>HYPERLINK is not implemented. linkLocation=https://seramic.eco, friendlyName=seramic.eco</x:v>
      </x:c>
      <x:c r="K20" s="6" t="str">
        <x:v>غير مؤكد من المصادر المراجعة</x:v>
      </x:c>
      <x:c r="L20" s="6" t="str">
        <x:v>غير متاح في المصادر المراجعة</x:v>
      </x:c>
      <x:c r="M20" s="12" t="str">
        <x:v>غير متاح في المصادر المراجعة</x:v>
      </x:c>
      <x:c r="N20" s="6" t="str">
        <x:v>غير متاح في المصادر المراجعة</x:v>
      </x:c>
      <x:c r="O20" s="6" t="str">
        <x:v>لا توجد جولة محددة موثقة ضمن هذه المراجعة</x:v>
      </x:c>
      <x:c r="P20" s="13" t="str">
        <x:v>لم يتم التواصل</x:v>
      </x:c>
      <x:c r="Q20" s="6" t="str">
        <x:v>تأكيد بيانات الشركة واحتياجها للتمويل / المشاركة</x:v>
      </x:c>
      <x:c r="R20" s="6" t="str"/>
      <x:c r="S20" s="11" t="d">
        <x:v>2026-10-22T06:00:00.000Z</x:v>
      </x:c>
      <x:c r="T20" s="14" t="e">
        <x:f>HYPERLINK("https://seramic.eco/","seramic.eco")</x:f>
        <x:v>HYPERLINK is not implemented. linkLocation=https://seramic.eco/, friendlyName=seramic.eco</x:v>
      </x:c>
      <x:c r="U20" s="14" t="str">
        <x:v>غير متاح في المصادر المراجعة</x:v>
      </x:c>
      <x:c r="V20" s="14" t="str">
        <x:v>غير متاح في المصادر المراجعة</x:v>
      </x:c>
      <x:c r="W20" s="14" t="e">
        <x:f>HYPERLINK("https://seramic.eco/contact/","seramic.eco")</x:f>
        <x:v>HYPERLINK is not implemented. linkLocation=https://seramic.eco/contact/, friendlyName=seramic.eco</x:v>
      </x:c>
      <x:c r="X20" s="14" t="e">
        <x:f>HYPERLINK("https://make.works/companies/seramic-materials-limited_uae","make.works")</x:f>
        <x:v>HYPERLINK is not implemented. linkLocation=https://make.works/companies/seramic-materials-limited_uae, friendlyName=make.works</x:v>
      </x:c>
      <x:c r="Y20" s="14" t="e">
        <x:f>HYPERLINK("https://seramic.eco/contact/","seramic.eco")</x:f>
        <x:v>HYPERLINK is not implemented. linkLocation=https://seramic.eco/contact/, friendlyName=seramic.eco</x:v>
      </x:c>
      <x:c r="Z20" s="6" t="str">
        <x:v>موقع الجهة أو قناة مرتبطة بها</x:v>
      </x:c>
      <x:c r="AA20" s="6" t="str">
        <x:v>مصدر ثانوي؛ يلزم تأكيد مباشر</x:v>
      </x:c>
    </x:row>
    <x:row r="21" ht="45" customHeight="1">
      <x:c r="A21" s="10" t="str">
        <x:v>S016</x:v>
      </x:c>
      <x:c r="B21" s="6" t="str">
        <x:v>Sila Insights</x:v>
      </x:c>
      <x:c r="C21" s="6" t="str">
        <x:v>دبي</x:v>
      </x:c>
      <x:c r="D21" s="6" t="str">
        <x:v>تحليل البيانات</x:v>
      </x:c>
      <x:c r="E21" s="6" t="n">
        <x:v>2018</x:v>
      </x:c>
      <x:c r="F21" s="6" t="str">
        <x:v>Paul Kelly</x:v>
      </x:c>
      <x:c r="G21" s="6" t="str">
        <x:v>info@silainsights.com</x:v>
      </x:c>
      <x:c r="H21" s="6" t="str">
        <x:v>غير متاح في المصادر المراجعة</x:v>
      </x:c>
      <x:c r="I21" s="6" t="str">
        <x:v>استفسارات عامة</x:v>
      </x:c>
      <x:c r="J21" s="14" t="e">
        <x:f>HYPERLINK("https://silainsights.com","silainsights.com")</x:f>
        <x:v>HYPERLINK is not implemented. linkLocation=https://silainsights.com, friendlyName=silainsights.com</x:v>
      </x:c>
      <x:c r="K21" s="6" t="str">
        <x:v>غير مؤكد من المصادر المراجعة</x:v>
      </x:c>
      <x:c r="L21" s="6" t="str">
        <x:v>غير متاح في المصادر المراجعة</x:v>
      </x:c>
      <x:c r="M21" s="12" t="str">
        <x:v>غير متاح في المصادر المراجعة</x:v>
      </x:c>
      <x:c r="N21" s="6" t="str">
        <x:v>غير متاح في المصادر المراجعة</x:v>
      </x:c>
      <x:c r="O21" s="6" t="str">
        <x:v>لا توجد جولة محددة موثقة ضمن هذه المراجعة</x:v>
      </x:c>
      <x:c r="P21" s="13" t="str">
        <x:v>لم يتم التواصل</x:v>
      </x:c>
      <x:c r="Q21" s="6" t="str">
        <x:v>تأكيد بيانات الشركة واحتياجها للتمويل / المشاركة</x:v>
      </x:c>
      <x:c r="R21" s="6" t="str"/>
      <x:c r="S21" s="11" t="d">
        <x:v>2026-10-22T06:00:00.000Z</x:v>
      </x:c>
      <x:c r="T21" s="14" t="e">
        <x:f>HYPERLINK("https://www.silainsights.com/about","silainsights.com")</x:f>
        <x:v>HYPERLINK is not implemented. linkLocation=https://www.silainsights.com/about, friendlyName=silainsights.com</x:v>
      </x:c>
      <x:c r="U21" s="14" t="str">
        <x:v>https://www.silainsights.com/about
https://future100.ae/report-2024
https://ai.paytabs.com/wp-content/uploads/2017/05/Future-100-1.pdf</x:v>
      </x:c>
      <x:c r="V21" s="14" t="str">
        <x:v>غير متاح في المصادر المراجعة</x:v>
      </x:c>
      <x:c r="W21" s="14" t="e">
        <x:f>HYPERLINK("https://www.silainsights.com/contact-sila/","silainsights.com")</x:f>
        <x:v>HYPERLINK is not implemented. linkLocation=https://www.silainsights.com/contact-sila/, friendlyName=silainsights.com</x:v>
      </x:c>
      <x:c r="X21" s="14" t="str">
        <x:v>غير متاح في المصادر المراجعة</x:v>
      </x:c>
      <x:c r="Y21" s="14" t="e">
        <x:f>HYPERLINK("https://www.silainsights.com/contact-sila/","silainsights.com")</x:f>
        <x:v>HYPERLINK is not implemented. linkLocation=https://www.silainsights.com/contact-sila/, friendlyName=silainsights.com</x:v>
      </x:c>
      <x:c r="Z21" s="6" t="str">
        <x:v>موقع الجهة أو قناة مرتبطة بها</x:v>
      </x:c>
      <x:c r="AA21" s="6" t="str">
        <x:v>غير متاح في المصادر المراجعة</x:v>
      </x:c>
    </x:row>
    <x:row r="22" ht="45" customHeight="1">
      <x:c r="A22" s="10" t="str">
        <x:v>S017</x:v>
      </x:c>
      <x:c r="B22" s="6" t="str">
        <x:v>Silkhaus</x:v>
      </x:c>
      <x:c r="C22" s="6" t="str">
        <x:v>دبي</x:v>
      </x:c>
      <x:c r="D22" s="6" t="str">
        <x:v>التقنية العقارية</x:v>
      </x:c>
      <x:c r="E22" s="6" t="n">
        <x:v>2021</x:v>
      </x:c>
      <x:c r="F22" s="6" t="str">
        <x:v>Aahan Bhojani; Ashmin Varma</x:v>
      </x:c>
      <x:c r="G22" s="6" t="str">
        <x:v>reservations@silkhaus.co</x:v>
      </x:c>
      <x:c r="H22" s="6" t="str">
        <x:v>+971 4 4396 243</x:v>
      </x:c>
      <x:c r="I22" s="6" t="str">
        <x:v>حجوزات؛ اطلب تحويلك للفريق المختص</x:v>
      </x:c>
      <x:c r="J22" s="14" t="e">
        <x:f>HYPERLINK("https://silkhaus.com","silkhaus.com")</x:f>
        <x:v>HYPERLINK is not implemented. linkLocation=https://silkhaus.com, friendlyName=silkhaus.com</x:v>
      </x:c>
      <x:c r="K22" s="6" t="str">
        <x:v>غير مؤكد من المصادر المراجعة</x:v>
      </x:c>
      <x:c r="L22" s="6" t="str">
        <x:v>جولة نمو غير محددة القيمة</x:v>
      </x:c>
      <x:c r="M22" s="12" t="str">
        <x:v>غير متاح في المصادر المراجعة</x:v>
      </x:c>
      <x:c r="N22" s="6" t="str">
        <x:v>2025-01</x:v>
      </x:c>
      <x:c r="O22" s="6" t="str">
        <x:v>قيمة من سبعة أرقام وفق المصدر</x:v>
      </x:c>
      <x:c r="P22" s="13" t="str">
        <x:v>لم يتم التواصل</x:v>
      </x:c>
      <x:c r="Q22" s="6" t="str">
        <x:v>تأكيد بيانات الشركة واحتياجها للتمويل / المشاركة</x:v>
      </x:c>
      <x:c r="R22" s="6" t="str"/>
      <x:c r="S22" s="11" t="d">
        <x:v>2026-10-22T06:00:00.000Z</x:v>
      </x:c>
      <x:c r="T22" s="14" t="e">
        <x:f>HYPERLINK("https://www.linkedin.com/company/wearesilkhaus/","linkedin.com")</x:f>
        <x:v>HYPERLINK is not implemented. linkLocation=https://www.linkedin.com/company/wearesilkhaus/, friendlyName=linkedin.com</x:v>
      </x:c>
      <x:c r="U22" s="14" t="str">
        <x:v>https://www.wamda.com/2025/01/silkhaus-fuel-ksa-expansion-seven-figure-growth-round
https://app.dealroom.co/companies/silkhaus
https://www.wamda.com/2024/01/silkhaus-closes-pre-series-round-accelerate-expansion-plans</x:v>
      </x:c>
      <x:c r="V22" s="14" t="e">
        <x:f>HYPERLINK("https://www.wamda.com/2025/01/silkhaus-fuel-ksa-expansion-seven-figure-growth-round","wamda.com")</x:f>
        <x:v>HYPERLINK is not implemented. linkLocation=https://www.wamda.com/2025/01/silkhaus-fuel-ksa-expansion-seven-figure-growth-round, friendlyName=wamda.com</x:v>
      </x:c>
      <x:c r="W22" s="14" t="e">
        <x:f>HYPERLINK("https://www.silkhaus.com/","silkhaus.com")</x:f>
        <x:v>HYPERLINK is not implemented. linkLocation=https://www.silkhaus.com/, friendlyName=silkhaus.com</x:v>
      </x:c>
      <x:c r="X22" s="14" t="e">
        <x:f>HYPERLINK("https://www.silkhaus.com/","silkhaus.com")</x:f>
        <x:v>HYPERLINK is not implemented. linkLocation=https://www.silkhaus.com/, friendlyName=silkhaus.com</x:v>
      </x:c>
      <x:c r="Y22" s="14" t="e">
        <x:f>HYPERLINK("https://www.silkhaus.com/","silkhaus.com")</x:f>
        <x:v>HYPERLINK is not implemented. linkLocation=https://www.silkhaus.com/, friendlyName=silkhaus.com</x:v>
      </x:c>
      <x:c r="Z22" s="6" t="str">
        <x:v>موقع الجهة أو قناة مرتبطة بها</x:v>
      </x:c>
      <x:c r="AA22" s="6" t="str">
        <x:v>موقع الجهة أو قناة مرتبطة بها</x:v>
      </x:c>
    </x:row>
    <x:row r="23" ht="45" customHeight="1">
      <x:c r="A23" s="10" t="str">
        <x:v>S018</x:v>
      </x:c>
      <x:c r="B23" s="6" t="str">
        <x:v>Stake</x:v>
      </x:c>
      <x:c r="C23" s="6" t="str">
        <x:v>دبي</x:v>
      </x:c>
      <x:c r="D23" s="6" t="str">
        <x:v>الاستثمار العقاري الرقمي</x:v>
      </x:c>
      <x:c r="E23" s="6" t="n">
        <x:v>2020</x:v>
      </x:c>
      <x:c r="F23" s="6" t="str">
        <x:v>Manar Mahmassani; Rami Tabbara; Ricardo Brizido</x:v>
      </x:c>
      <x:c r="G23" s="6" t="str">
        <x:v>contact@getstake.com</x:v>
      </x:c>
      <x:c r="H23" s="6" t="str">
        <x:v>غير متاح في المصادر المراجعة</x:v>
      </x:c>
      <x:c r="I23" s="6" t="str">
        <x:v>استفسارات عامة</x:v>
      </x:c>
      <x:c r="J23" s="14" t="e">
        <x:f>HYPERLINK("https://getstake.com","getstake.com")</x:f>
        <x:v>HYPERLINK is not implemented. linkLocation=https://getstake.com, friendlyName=getstake.com</x:v>
      </x:c>
      <x:c r="K23" s="6" t="str">
        <x:v>غير مؤكد من المصادر المراجعة</x:v>
      </x:c>
      <x:c r="L23" s="6" t="str">
        <x:v>Pre-Series A</x:v>
      </x:c>
      <x:c r="M23" s="12" t="n">
        <x:v>8000000</x:v>
      </x:c>
      <x:c r="N23" s="6" t="str">
        <x:v>2022-08-29</x:v>
      </x:c>
      <x:c r="O23" s="6" t="str">
        <x:v>جولة تاريخية</x:v>
      </x:c>
      <x:c r="P23" s="13" t="str">
        <x:v>لم يتم التواصل</x:v>
      </x:c>
      <x:c r="Q23" s="6" t="str">
        <x:v>تأكيد بيانات الشركة واحتياجها للتمويل / المشاركة</x:v>
      </x:c>
      <x:c r="R23" s="6" t="str">
        <x:v>المصدر الإعلامي يذكر 2020 وقائمة Future 100 تذكر 2021.</x:v>
      </x:c>
      <x:c r="S23" s="11" t="d">
        <x:v>2026-10-22T06:00:00.000Z</x:v>
      </x:c>
      <x:c r="T23" s="14" t="e">
        <x:f>HYPERLINK("https://techcrunch.com/2022/08/29/dubai-based-stake-raises-8-million-to-let-people-across-the-globe-invest-in-local-properties/","techcrunch.com")</x:f>
        <x:v>HYPERLINK is not implemented. linkLocation=https://techcrunch.com/2022/08/29/dubai-based-stake-raises-8-million-to-let-people-across-the-globe-invest-in-local-properties/, friendlyName=techcrunch.com</x:v>
      </x:c>
      <x:c r="U23" s="14" t="str">
        <x:v>https://techcrunch.com/2022/08/29/dubai-based-stake-raises-8-million-to-let-people-across-the-globe-invest-in-local-properties/
https://www.forbesmiddleeast.com/lists/the-middle-easts-fintech-50-2026/stake-2/
https://www.thenationalnews.com/business/property/dubai-property-crowdfunding-platform-stake-raises-4m-in-seed-funding-1.1232425</x:v>
      </x:c>
      <x:c r="V23" s="14" t="e">
        <x:f>HYPERLINK("https://techcrunch.com/2022/08/29/dubai-based-stake-raises-8-million-to-let-people-across-the-globe-invest-in-local-properties/","techcrunch.com")</x:f>
        <x:v>HYPERLINK is not implemented. linkLocation=https://techcrunch.com/2022/08/29/dubai-based-stake-raises-8-million-to-let-people-across-the-globe-invest-in-local-properties/, friendlyName=techcrunch.com</x:v>
      </x:c>
      <x:c r="W23" s="14" t="e">
        <x:f>HYPERLINK("https://cdn.getstake.com/www.getstake.com/Stake_Investor_Report_2025.pdf","cdn.getstake.com")</x:f>
        <x:v>HYPERLINK is not implemented. linkLocation=https://cdn.getstake.com/www.getstake.com/Stake_Investor_Report_2025.pdf, friendlyName=cdn.getstake.com</x:v>
      </x:c>
      <x:c r="X23" s="14" t="str">
        <x:v>غير متاح في المصادر المراجعة</x:v>
      </x:c>
      <x:c r="Y23" s="14" t="e">
        <x:f>HYPERLINK("https://cdn.getstake.com/www.getstake.com/Stake_Investor_Report_2025.pdf","cdn.getstake.com")</x:f>
        <x:v>HYPERLINK is not implemented. linkLocation=https://cdn.getstake.com/www.getstake.com/Stake_Investor_Report_2025.pdf, friendlyName=cdn.getstake.com</x:v>
      </x:c>
      <x:c r="Z23" s="6" t="str">
        <x:v>موقع الجهة أو قناة مرتبطة بها</x:v>
      </x:c>
      <x:c r="AA23" s="6" t="str">
        <x:v>غير متاح في المصادر المراجعة</x:v>
      </x:c>
    </x:row>
    <x:row r="24" ht="45" customHeight="1">
      <x:c r="A24" s="10" t="str">
        <x:v>S019</x:v>
      </x:c>
      <x:c r="B24" s="6" t="str">
        <x:v>Takalam</x:v>
      </x:c>
      <x:c r="C24" s="6" t="str">
        <x:v>أبوظبي</x:v>
      </x:c>
      <x:c r="D24" s="6" t="str">
        <x:v>الصحة النفسية</x:v>
      </x:c>
      <x:c r="E24" s="6" t="n">
        <x:v>2021</x:v>
      </x:c>
      <x:c r="F24" s="6" t="str">
        <x:v>Khawla Hammad; Inas Shashieh</x:v>
      </x:c>
      <x:c r="G24" s="6" t="str">
        <x:v>info@takalam.ae</x:v>
      </x:c>
      <x:c r="H24" s="6" t="str">
        <x:v>+971 56 237 2508</x:v>
      </x:c>
      <x:c r="I24" s="6" t="str">
        <x:v>استفسارات عامة</x:v>
      </x:c>
      <x:c r="J24" s="14" t="e">
        <x:f>HYPERLINK("https://takalamhere.com","takalamhere.com")</x:f>
        <x:v>HYPERLINK is not implemented. linkLocation=https://takalamhere.com, friendlyName=takalamhere.com</x:v>
      </x:c>
      <x:c r="K24" s="6" t="str">
        <x:v>غير مؤكد من المصادر المراجعة</x:v>
      </x:c>
      <x:c r="L24" s="6" t="str">
        <x:v>Pre-Seed</x:v>
      </x:c>
      <x:c r="M24" s="12" t="n">
        <x:v>1000000</x:v>
      </x:c>
      <x:c r="N24" s="6" t="str">
        <x:v>2022-01-31</x:v>
      </x:c>
      <x:c r="O24" s="6" t="str">
        <x:v>استثمار معلن</x:v>
      </x:c>
      <x:c r="P24" s="13" t="str">
        <x:v>لم يتم التواصل</x:v>
      </x:c>
      <x:c r="Q24" s="6" t="str">
        <x:v>تأكيد بيانات الشركة واحتياجها للتمويل / المشاركة</x:v>
      </x:c>
      <x:c r="R24" s="6" t="str"/>
      <x:c r="S24" s="11" t="d">
        <x:v>2026-10-22T06:00:00.000Z</x:v>
      </x:c>
      <x:c r="T24" s="14" t="e">
        <x:f>HYPERLINK("https://www.gulfleads.ae/company/takalam-e337ae","gulfleads.ae")</x:f>
        <x:v>HYPERLINK is not implemented. linkLocation=https://www.gulfleads.ae/company/takalam-e337ae, friendlyName=gulfleads.ae</x:v>
      </x:c>
      <x:c r="U24" s="14" t="str">
        <x:v>https://www.gulfleads.ae/company/takalam-e337ae
https://prospeo.io/c/takalam
https://www.wamda.com/en/2022/01/uae-based-takalam-raises-1-million-pre-seed-round</x:v>
      </x:c>
      <x:c r="V24" s="14" t="e">
        <x:f>HYPERLINK("https://www.wamda.com/en/2022/01/uae-based-takalam-raises-1-million-pre-seed-round","wamda.com")</x:f>
        <x:v>HYPERLINK is not implemented. linkLocation=https://www.wamda.com/en/2022/01/uae-based-takalam-raises-1-million-pre-seed-round, friendlyName=wamda.com</x:v>
      </x:c>
      <x:c r="W24" s="14" t="e">
        <x:f>HYPERLINK("https://business.takalamhere.com/","business.takalamhere.com")</x:f>
        <x:v>HYPERLINK is not implemented. linkLocation=https://business.takalamhere.com/, friendlyName=business.takalamhere.com</x:v>
      </x:c>
      <x:c r="X24" s="14" t="e">
        <x:f>HYPERLINK("https://business.takalamhere.com/","business.takalamhere.com")</x:f>
        <x:v>HYPERLINK is not implemented. linkLocation=https://business.takalamhere.com/, friendlyName=business.takalamhere.com</x:v>
      </x:c>
      <x:c r="Y24" s="14" t="e">
        <x:f>HYPERLINK("https://stagingvm.takalamhere.com/ar/contact-us","stagingvm.takalamhere.com")</x:f>
        <x:v>HYPERLINK is not implemented. linkLocation=https://stagingvm.takalamhere.com/ar/contact-us, friendlyName=stagingvm.takalamhere.com</x:v>
      </x:c>
      <x:c r="Z24" s="6" t="str">
        <x:v>موقع الجهة أو قناة مرتبطة بها</x:v>
      </x:c>
      <x:c r="AA24" s="6" t="str">
        <x:v>موقع الجهة أو قناة مرتبطة بها</x:v>
      </x:c>
    </x:row>
    <x:row r="25" ht="45" customHeight="1">
      <x:c r="A25" s="10" t="str">
        <x:v>S020</x:v>
      </x:c>
      <x:c r="B25" s="6" t="str">
        <x:v>Tarjama</x:v>
      </x:c>
      <x:c r="C25" s="6" t="str">
        <x:v>دبي</x:v>
      </x:c>
      <x:c r="D25" s="6" t="str">
        <x:v>الذكاء الاصطناعي اللغوي</x:v>
      </x:c>
      <x:c r="E25" s="6" t="str">
        <x:v>غير متاح في المصادر المراجعة</x:v>
      </x:c>
      <x:c r="F25" s="6" t="str">
        <x:v>Nour Al Hassan</x:v>
      </x:c>
      <x:c r="G25" s="6" t="str">
        <x:v>hello@tarjama.com</x:v>
      </x:c>
      <x:c r="H25" s="6" t="str">
        <x:v>+971 4 561 6821</x:v>
      </x:c>
      <x:c r="I25" s="6" t="str">
        <x:v>استفسارات عامة</x:v>
      </x:c>
      <x:c r="J25" s="14" t="e">
        <x:f>HYPERLINK("https://tarjama.com","tarjama.com")</x:f>
        <x:v>HYPERLINK is not implemented. linkLocation=https://tarjama.com, friendlyName=tarjama.com</x:v>
      </x:c>
      <x:c r="K25" s="6" t="str">
        <x:v>غير مؤكد من المصادر المراجعة</x:v>
      </x:c>
      <x:c r="L25" s="6" t="str">
        <x:v>جولة تمويل</x:v>
      </x:c>
      <x:c r="M25" s="12" t="n">
        <x:v>15000000</x:v>
      </x:c>
      <x:c r="N25" s="6" t="str">
        <x:v>2025-05</x:v>
      </x:c>
      <x:c r="O25" s="6" t="str">
        <x:v>استثمار معلن</x:v>
      </x:c>
      <x:c r="P25" s="13" t="str">
        <x:v>لم يتم التواصل</x:v>
      </x:c>
      <x:c r="Q25" s="6" t="str">
        <x:v>تأكيد بيانات الشركة واحتياجها للتمويل / المشاركة</x:v>
      </x:c>
      <x:c r="R25" s="6" t="str">
        <x:v>تعارض تاريخ التأسيس بين 2008 في التغطية الإعلامية و2012 في Future 100.</x:v>
      </x:c>
      <x:c r="S25" s="11" t="d">
        <x:v>2026-10-22T06:00:00.000Z</x:v>
      </x:c>
      <x:c r="T25" s="14" t="e">
        <x:f>HYPERLINK("https://tarjama.com/contact-us/","tarjama.com")</x:f>
        <x:v>HYPERLINK is not implemented. linkLocation=https://tarjama.com/contact-us/, friendlyName=tarjama.com</x:v>
      </x:c>
      <x:c r="U25" s="14" t="str">
        <x:v>https://www.gulfleads.ae/company/tarjama-0dac60
https://www.al-monitor.com/originals/2025/08/how-arabic-translation-firm-jordan-became-gulf-ai-player
https://www.wamda.com/2025/05/wamda-capital-joins-tarjama-15-million-series-a</x:v>
      </x:c>
      <x:c r="V25" s="14" t="e">
        <x:f>HYPERLINK("https://www.al-monitor.com/originals/2025/08/how-arabic-translation-firm-jordan-became-gulf-ai-player","al-monitor.com")</x:f>
        <x:v>HYPERLINK is not implemented. linkLocation=https://www.al-monitor.com/originals/2025/08/how-arabic-translation-firm-jordan-became-gulf-ai-player, friendlyName=al-monitor.com</x:v>
      </x:c>
      <x:c r="W25" s="14" t="e">
        <x:f>HYPERLINK("https://tarjama.com/contact-us/","tarjama.com")</x:f>
        <x:v>HYPERLINK is not implemented. linkLocation=https://tarjama.com/contact-us/, friendlyName=tarjama.com</x:v>
      </x:c>
      <x:c r="X25" s="14" t="e">
        <x:f>HYPERLINK("https://tarjama.com/contact-us/","tarjama.com")</x:f>
        <x:v>HYPERLINK is not implemented. linkLocation=https://tarjama.com/contact-us/, friendlyName=tarjama.com</x:v>
      </x:c>
      <x:c r="Y25" s="14" t="e">
        <x:f>HYPERLINK("https://tarjama.com/contact-us/","tarjama.com")</x:f>
        <x:v>HYPERLINK is not implemented. linkLocation=https://tarjama.com/contact-us/, friendlyName=tarjama.com</x:v>
      </x:c>
      <x:c r="Z25" s="6" t="str">
        <x:v>موقع الجهة أو قناة مرتبطة بها</x:v>
      </x:c>
      <x:c r="AA25" s="6" t="str">
        <x:v>موقع الجهة أو قناة مرتبطة بها</x:v>
      </x:c>
    </x:row>
    <x:row r="26" ht="45" customHeight="1">
      <x:c r="A26" s="10" t="str">
        <x:v>S021</x:v>
      </x:c>
      <x:c r="B26" s="6" t="str">
        <x:v>Telr</x:v>
      </x:c>
      <x:c r="C26" s="6" t="str">
        <x:v>دبي</x:v>
      </x:c>
      <x:c r="D26" s="6" t="str">
        <x:v>المدفوعات</x:v>
      </x:c>
      <x:c r="E26" s="6" t="n">
        <x:v>2014</x:v>
      </x:c>
      <x:c r="F26" s="6" t="str">
        <x:v>Khalil Alami</x:v>
      </x:c>
      <x:c r="G26" s="6" t="str">
        <x:v>partner@telr.com</x:v>
      </x:c>
      <x:c r="H26" s="6" t="str">
        <x:v>+971 4 314 6999</x:v>
      </x:c>
      <x:c r="I26" s="6" t="str">
        <x:v>شراكات / استفسارات أعمال</x:v>
      </x:c>
      <x:c r="J26" s="14" t="e">
        <x:f>HYPERLINK("https://telr.com","telr.com")</x:f>
        <x:v>HYPERLINK is not implemented. linkLocation=https://telr.com, friendlyName=telr.com</x:v>
      </x:c>
      <x:c r="K26" s="6" t="str">
        <x:v>غير مؤكد من المصادر المراجعة</x:v>
      </x:c>
      <x:c r="L26" s="6" t="str">
        <x:v>غير متاح في المصادر المراجعة</x:v>
      </x:c>
      <x:c r="M26" s="12" t="str">
        <x:v>غير متاح في المصادر المراجعة</x:v>
      </x:c>
      <x:c r="N26" s="6" t="str">
        <x:v>غير متاح في المصادر المراجعة</x:v>
      </x:c>
      <x:c r="O26" s="6" t="str">
        <x:v>لا توجد جولة محددة موثقة ضمن هذه المراجعة</x:v>
      </x:c>
      <x:c r="P26" s="13" t="str">
        <x:v>لم يتم التواصل</x:v>
      </x:c>
      <x:c r="Q26" s="6" t="str">
        <x:v>تأكيد بيانات الشركة واحتياجها للتمويل / المشاركة</x:v>
      </x:c>
      <x:c r="R26" s="6" t="str"/>
      <x:c r="S26" s="11" t="d">
        <x:v>2026-10-22T06:00:00.000Z</x:v>
      </x:c>
      <x:c r="T26" s="14" t="e">
        <x:f>HYPERLINK("https://www.gulfstartupmap.com/startups/telr","gulfstartupmap.com")</x:f>
        <x:v>HYPERLINK is not implemented. linkLocation=https://www.gulfstartupmap.com/startups/telr, friendlyName=gulfstartupmap.com</x:v>
      </x:c>
      <x:c r="U26" s="14" t="str">
        <x:v>https://www.gulfstartupmap.com/startups/telr
https://www.crunchbase.com/organization/telr
https://www.forbesmiddleeast.com/lists/the-middle-easts-50-most-funded-startups/telr/</x:v>
      </x:c>
      <x:c r="V26" s="14" t="str">
        <x:v>غير متاح في المصادر المراجعة</x:v>
      </x:c>
      <x:c r="W26" s="14" t="e">
        <x:f>HYPERLINK("https://telr.com/contact-us","telr.com")</x:f>
        <x:v>HYPERLINK is not implemented. linkLocation=https://telr.com/contact-us, friendlyName=telr.com</x:v>
      </x:c>
      <x:c r="X26" s="14" t="e">
        <x:f>HYPERLINK("https://telr.com/contact-us","telr.com")</x:f>
        <x:v>HYPERLINK is not implemented. linkLocation=https://telr.com/contact-us, friendlyName=telr.com</x:v>
      </x:c>
      <x:c r="Y26" s="14" t="e">
        <x:f>HYPERLINK("https://telr.com/contact-us","telr.com")</x:f>
        <x:v>HYPERLINK is not implemented. linkLocation=https://telr.com/contact-us, friendlyName=telr.com</x:v>
      </x:c>
      <x:c r="Z26" s="6" t="str">
        <x:v>موقع الجهة أو قناة مرتبطة بها</x:v>
      </x:c>
      <x:c r="AA26" s="6" t="str">
        <x:v>موقع الجهة أو قناة مرتبطة بها</x:v>
      </x:c>
    </x:row>
    <x:row r="27" ht="45" customHeight="1">
      <x:c r="A27" s="10" t="str">
        <x:v>S022</x:v>
      </x:c>
      <x:c r="B27" s="6" t="str">
        <x:v>Terrax</x:v>
      </x:c>
      <x:c r="C27" s="6" t="str">
        <x:v>أبوظبي</x:v>
      </x:c>
      <x:c r="D27" s="6" t="str">
        <x:v>الاقتصاد الدائري</x:v>
      </x:c>
      <x:c r="E27" s="6" t="n">
        <x:v>2022</x:v>
      </x:c>
      <x:c r="F27" s="6" t="str">
        <x:v>Theresa Wernery; David Wernery; Cameron Cairns</x:v>
      </x:c>
      <x:c r="G27" s="6" t="str">
        <x:v>info@terrax.world</x:v>
      </x:c>
      <x:c r="H27" s="6" t="str">
        <x:v>+971 50 554 8255</x:v>
      </x:c>
      <x:c r="I27" s="6" t="str">
        <x:v>استفسارات عامة</x:v>
      </x:c>
      <x:c r="J27" s="14" t="e">
        <x:f>HYPERLINK("https://terrax.world","terrax.world")</x:f>
        <x:v>HYPERLINK is not implemented. linkLocation=https://terrax.world, friendlyName=terrax.world</x:v>
      </x:c>
      <x:c r="K27" s="6" t="str">
        <x:v>غير مؤكد من المصادر المراجعة</x:v>
      </x:c>
      <x:c r="L27" s="6" t="str">
        <x:v>غير متاح في المصادر المراجعة</x:v>
      </x:c>
      <x:c r="M27" s="12" t="str">
        <x:v>غير متاح في المصادر المراجعة</x:v>
      </x:c>
      <x:c r="N27" s="6" t="str">
        <x:v>غير متاح في المصادر المراجعة</x:v>
      </x:c>
      <x:c r="O27" s="6" t="str">
        <x:v>لا توجد جولة محددة موثقة ضمن هذه المراجعة</x:v>
      </x:c>
      <x:c r="P27" s="13" t="str">
        <x:v>لم يتم التواصل</x:v>
      </x:c>
      <x:c r="Q27" s="6" t="str">
        <x:v>تأكيد بيانات الشركة واحتياجها للتمويل / المشاركة</x:v>
      </x:c>
      <x:c r="R27" s="6" t="str">
        <x:v>العنوان المنشور بمدينة مصدر بأبوظبي.</x:v>
      </x:c>
      <x:c r="S27" s="11" t="d">
        <x:v>2026-10-22T06:00:00.000Z</x:v>
      </x:c>
      <x:c r="T27" s="14" t="e">
        <x:f>HYPERLINK("https://www.pwc.com/m1/en/esg/images/future50/docs/industry/Terrax-Environmental-Limited.pdf","pwc.com")</x:f>
        <x:v>HYPERLINK is not implemented. linkLocation=https://www.pwc.com/m1/en/esg/images/future50/docs/industry/Terrax-Environmental-Limited.pdf, friendlyName=pwc.com</x:v>
      </x:c>
      <x:c r="U27" s="14" t="str">
        <x:v>https://www.linkedin.com/company/terraxworld/
https://ae.linkedin.com/company/terraxworld
https://future100.ae/report-2024</x:v>
      </x:c>
      <x:c r="V27" s="14" t="str">
        <x:v>غير متاح في المصادر المراجعة</x:v>
      </x:c>
      <x:c r="W27" s="14" t="e">
        <x:f>HYPERLINK("https://terrax.world/","terrax.world")</x:f>
        <x:v>HYPERLINK is not implemented. linkLocation=https://terrax.world/, friendlyName=terrax.world</x:v>
      </x:c>
      <x:c r="X27" s="14" t="e">
        <x:f>HYPERLINK("https://terrax.world/","terrax.world")</x:f>
        <x:v>HYPERLINK is not implemented. linkLocation=https://terrax.world/, friendlyName=terrax.world</x:v>
      </x:c>
      <x:c r="Y27" s="14" t="e">
        <x:f>HYPERLINK("https://terrax.world/","terrax.world")</x:f>
        <x:v>HYPERLINK is not implemented. linkLocation=https://terrax.world/, friendlyName=terrax.world</x:v>
      </x:c>
      <x:c r="Z27" s="6" t="str">
        <x:v>موقع الجهة أو قناة مرتبطة بها</x:v>
      </x:c>
      <x:c r="AA27" s="6" t="str">
        <x:v>موقع الجهة أو قناة مرتبطة بها</x:v>
      </x:c>
    </x:row>
    <x:row r="28" ht="45" customHeight="1">
      <x:c r="A28" s="10" t="str">
        <x:v>S023</x:v>
      </x:c>
      <x:c r="B28" s="6" t="str">
        <x:v>Watermelon</x:v>
      </x:c>
      <x:c r="C28" s="6" t="str">
        <x:v>دبي</x:v>
      </x:c>
      <x:c r="D28" s="6" t="str">
        <x:v>مشتريات الأغذية</x:v>
      </x:c>
      <x:c r="E28" s="6" t="n">
        <x:v>2021</x:v>
      </x:c>
      <x:c r="F28" s="6" t="str">
        <x:v>غير متاح في المصادر المراجعة</x:v>
      </x:c>
      <x:c r="G28" s="6" t="str">
        <x:v>hello@watermelon.market</x:v>
      </x:c>
      <x:c r="H28" s="6" t="str">
        <x:v>+971 58 585 4929</x:v>
      </x:c>
      <x:c r="I28" s="6" t="str">
        <x:v>استفسارات عامة</x:v>
      </x:c>
      <x:c r="J28" s="14" t="e">
        <x:f>HYPERLINK("https://watermelon.market","watermelon.market")</x:f>
        <x:v>HYPERLINK is not implemented. linkLocation=https://watermelon.market, friendlyName=watermelon.market</x:v>
      </x:c>
      <x:c r="K28" s="6" t="str">
        <x:v>غير مؤكد من المصادر المراجعة</x:v>
      </x:c>
      <x:c r="L28" s="6" t="str">
        <x:v>Series A</x:v>
      </x:c>
      <x:c r="M28" s="12" t="n">
        <x:v>4000000</x:v>
      </x:c>
      <x:c r="N28" s="6" t="str">
        <x:v>2024-07-31</x:v>
      </x:c>
      <x:c r="O28" s="6" t="str">
        <x:v>استثمار معلن</x:v>
      </x:c>
      <x:c r="P28" s="13" t="str">
        <x:v>لم يتم التواصل</x:v>
      </x:c>
      <x:c r="Q28" s="6" t="str">
        <x:v>تأكيد بيانات الشركة واحتياجها للتمويل / المشاركة</x:v>
      </x:c>
      <x:c r="R28" s="6" t="str"/>
      <x:c r="S28" s="11" t="d">
        <x:v>2026-10-22T06:00:00.000Z</x:v>
      </x:c>
      <x:c r="T28" s="14" t="e">
        <x:f>HYPERLINK("https://en.wikipedia.org/wiki/Barcode_%28drink%29","en.wikipedia.org")</x:f>
        <x:v>HYPERLINK is not implemented. linkLocation=https://en.wikipedia.org/wiki/Barcode_%28drink%29, friendlyName=en.wikipedia.org</x:v>
      </x:c>
      <x:c r="U28" s="14" t="str">
        <x:v>غير متاح في المصادر المراجعة</x:v>
      </x:c>
      <x:c r="V28" s="14" t="e">
        <x:f>HYPERLINK("https://uaerg.ae/watermelon-teams-up-with-daman-investments-for-4m-series-a/","uaerg.ae")</x:f>
        <x:v>HYPERLINK is not implemented. linkLocation=https://uaerg.ae/watermelon-teams-up-with-daman-investments-for-4m-series-a/, friendlyName=uaerg.ae</x:v>
      </x:c>
      <x:c r="W28" s="14" t="e">
        <x:f>HYPERLINK("https://ae.linkedin.com/company/watermelonecosystem","ae.linkedin.com")</x:f>
        <x:v>HYPERLINK is not implemented. linkLocation=https://ae.linkedin.com/company/watermelonecosystem, friendlyName=ae.linkedin.com</x:v>
      </x:c>
      <x:c r="X28" s="14" t="e">
        <x:f>HYPERLINK("https://ae.linkedin.com/company/watermelonecosystem","ae.linkedin.com")</x:f>
        <x:v>HYPERLINK is not implemented. linkLocation=https://ae.linkedin.com/company/watermelonecosystem, friendlyName=ae.linkedin.com</x:v>
      </x:c>
      <x:c r="Y28" s="14" t="e">
        <x:f>HYPERLINK("https://watermelon.market/contact-us/","watermelon.market")</x:f>
        <x:v>HYPERLINK is not implemented. linkLocation=https://watermelon.market/contact-us/, friendlyName=watermelon.market</x:v>
      </x:c>
      <x:c r="Z28" s="6" t="str">
        <x:v>صفحة أو منشور مهني معلن</x:v>
      </x:c>
      <x:c r="AA28" s="6" t="str">
        <x:v>صفحة أو منشور مهني معلن</x:v>
      </x:c>
    </x:row>
    <x:row r="29" ht="45" customHeight="1">
      <x:c r="A29" s="10" t="str">
        <x:v>S024</x:v>
      </x:c>
      <x:c r="B29" s="6" t="str">
        <x:v>Wellx</x:v>
      </x:c>
      <x:c r="C29" s="6" t="str">
        <x:v>دبي</x:v>
      </x:c>
      <x:c r="D29" s="6" t="str">
        <x:v>التأمين الصحي الرقمي</x:v>
      </x:c>
      <x:c r="E29" s="6" t="n">
        <x:v>2021</x:v>
      </x:c>
      <x:c r="F29" s="6" t="str">
        <x:v>Vaibhav Kashyap</x:v>
      </x:c>
      <x:c r="G29" s="6" t="str">
        <x:v>support@wellxai.com</x:v>
      </x:c>
      <x:c r="H29" s="6" t="str">
        <x:v>غير متاح في المصادر المراجعة</x:v>
      </x:c>
      <x:c r="I29" s="6" t="str">
        <x:v>دعم / خدمة عملاء؛ اطلب التحويل</x:v>
      </x:c>
      <x:c r="J29" s="14" t="e">
        <x:f>HYPERLINK("https://wellxai.com","wellxai.com")</x:f>
        <x:v>HYPERLINK is not implemented. linkLocation=https://wellxai.com, friendlyName=wellxai.com</x:v>
      </x:c>
      <x:c r="K29" s="6" t="str">
        <x:v>غير مؤكد من المصادر المراجعة</x:v>
      </x:c>
      <x:c r="L29" s="6" t="str">
        <x:v>Seed</x:v>
      </x:c>
      <x:c r="M29" s="12" t="n">
        <x:v>2000000</x:v>
      </x:c>
      <x:c r="N29" s="6" t="str">
        <x:v>2023-07-26</x:v>
      </x:c>
      <x:c r="O29" s="6" t="str">
        <x:v>استثمار معلن</x:v>
      </x:c>
      <x:c r="P29" s="13" t="str">
        <x:v>لم يتم التواصل</x:v>
      </x:c>
      <x:c r="Q29" s="6" t="str">
        <x:v>تأكيد بيانات الشركة واحتياجها للتمويل / المشاركة</x:v>
      </x:c>
      <x:c r="R29" s="6" t="str"/>
      <x:c r="S29" s="11" t="d">
        <x:v>2026-10-22T06:00:00.000Z</x:v>
      </x:c>
      <x:c r="T29" s="14" t="e">
        <x:f>HYPERLINK("https://uaefintech.co/company/wellx/","uaefintech.co")</x:f>
        <x:v>HYPERLINK is not implemented. linkLocation=https://uaefintech.co/company/wellx/, friendlyName=uaefintech.co</x:v>
      </x:c>
      <x:c r="U29" s="14" t="str">
        <x:v>https://www.wamda.com/2023/07/uae-wellx-raises-2-million-seed-fund-expansion
https://www.crunchbase.com/organization/wellx-ai
https://thestartupscene.me/MenaEcosystems/UAE-Based-Wellness-Platform-Wellx-Raises-2-Million-in-Seed-Round</x:v>
      </x:c>
      <x:c r="V29" s="14" t="e">
        <x:f>HYPERLINK("https://www.wamda.com/2023/07/uae-wellx-raises-2-million-seed-fund-expansion","wamda.com")</x:f>
        <x:v>HYPERLINK is not implemented. linkLocation=https://www.wamda.com/2023/07/uae-wellx-raises-2-million-seed-fund-expansion, friendlyName=wamda.com</x:v>
      </x:c>
      <x:c r="W29" s="14" t="e">
        <x:f>HYPERLINK("https://wellxai.com/contact","wellxai.com")</x:f>
        <x:v>HYPERLINK is not implemented. linkLocation=https://wellxai.com/contact, friendlyName=wellxai.com</x:v>
      </x:c>
      <x:c r="X29" s="14" t="str">
        <x:v>غير متاح في المصادر المراجعة</x:v>
      </x:c>
      <x:c r="Y29" s="14" t="e">
        <x:f>HYPERLINK("https://wellxai.com/contact","wellxai.com")</x:f>
        <x:v>HYPERLINK is not implemented. linkLocation=https://wellxai.com/contact, friendlyName=wellxai.com</x:v>
      </x:c>
      <x:c r="Z29" s="6" t="str">
        <x:v>موقع الجهة أو قناة مرتبطة بها</x:v>
      </x:c>
      <x:c r="AA29" s="6" t="str">
        <x:v>غير متاح في المصادر المراجعة</x:v>
      </x:c>
    </x:row>
    <x:row r="30" ht="45" customHeight="1">
      <x:c r="A30" s="10" t="str">
        <x:v>S025</x:v>
      </x:c>
      <x:c r="B30" s="6" t="str">
        <x:v>WhiteBox HR</x:v>
      </x:c>
      <x:c r="C30" s="6" t="str">
        <x:v>أبوظبي</x:v>
      </x:c>
      <x:c r="D30" s="6" t="str">
        <x:v>تقنية الموارد البشرية</x:v>
      </x:c>
      <x:c r="E30" s="6" t="n">
        <x:v>2020</x:v>
      </x:c>
      <x:c r="F30" s="6" t="str">
        <x:v>Dena Almansoori</x:v>
      </x:c>
      <x:c r="G30" s="6" t="str">
        <x:v>hello@whiteboxhr.com</x:v>
      </x:c>
      <x:c r="H30" s="6" t="str">
        <x:v>غير متاح في المصادر المراجعة</x:v>
      </x:c>
      <x:c r="I30" s="6" t="str">
        <x:v>استفسارات عامة</x:v>
      </x:c>
      <x:c r="J30" s="14" t="e">
        <x:f>HYPERLINK("https://whiteboxhr.com","whiteboxhr.com")</x:f>
        <x:v>HYPERLINK is not implemented. linkLocation=https://whiteboxhr.com, friendlyName=whiteboxhr.com</x:v>
      </x:c>
      <x:c r="K30" s="6" t="str">
        <x:v>غير مؤكد من المصادر المراجعة</x:v>
      </x:c>
      <x:c r="L30" s="6" t="str">
        <x:v>غير متاح في المصادر المراجعة</x:v>
      </x:c>
      <x:c r="M30" s="12" t="str">
        <x:v>غير متاح في المصادر المراجعة</x:v>
      </x:c>
      <x:c r="N30" s="6" t="str">
        <x:v>غير متاح في المصادر المراجعة</x:v>
      </x:c>
      <x:c r="O30" s="6" t="str">
        <x:v>لا توجد جولة محددة موثقة ضمن هذه المراجعة</x:v>
      </x:c>
      <x:c r="P30" s="13" t="str">
        <x:v>لم يتم التواصل</x:v>
      </x:c>
      <x:c r="Q30" s="6" t="str">
        <x:v>تأكيد بيانات الشركة واحتياجها للتمويل / المشاركة</x:v>
      </x:c>
      <x:c r="R30" s="6" t="str">
        <x:v>العنوان المنشور في Hub71 بأبوظبي.</x:v>
      </x:c>
      <x:c r="S30" s="11" t="d">
        <x:v>2026-10-22T06:00:00.000Z</x:v>
      </x:c>
      <x:c r="T30" s="14" t="e">
        <x:f>HYPERLINK("https://www.linkedin.com/company/whiteboxhr","linkedin.com")</x:f>
        <x:v>HYPERLINK is not implemented. linkLocation=https://www.linkedin.com/company/whiteboxhr, friendlyName=linkedin.com</x:v>
      </x:c>
      <x:c r="U30" s="14" t="str">
        <x:v>https://www.linkedin.com/company/whiteboxhr
https://future100.ae/report-2024
https://ai.paytabs.com/wp-content/uploads/2017/05/Future-100-1.pdf</x:v>
      </x:c>
      <x:c r="V30" s="14" t="str">
        <x:v>غير متاح في المصادر المراجعة</x:v>
      </x:c>
      <x:c r="W30" s="14" t="e">
        <x:f>HYPERLINK("https://www.whiteboxhr.com/privacy-policy","whiteboxhr.com")</x:f>
        <x:v>HYPERLINK is not implemented. linkLocation=https://www.whiteboxhr.com/privacy-policy, friendlyName=whiteboxhr.com</x:v>
      </x:c>
      <x:c r="X30" s="14" t="str">
        <x:v>غير متاح في المصادر المراجعة</x:v>
      </x:c>
      <x:c r="Y30" s="14" t="e">
        <x:f>HYPERLINK("https://www.whiteboxhr.com/contact","whiteboxhr.com")</x:f>
        <x:v>HYPERLINK is not implemented. linkLocation=https://www.whiteboxhr.com/contact, friendlyName=whiteboxhr.com</x:v>
      </x:c>
      <x:c r="Z30" s="6" t="str">
        <x:v>موقع الجهة أو قناة مرتبطة بها</x:v>
      </x:c>
      <x:c r="AA30" s="6" t="str">
        <x:v>غير متاح في المصادر المراجعة</x:v>
      </x:c>
    </x:row>
    <x:row r="31" ht="45" customHeight="1">
      <x:c r="A31" s="10" t="str">
        <x:v>S026</x:v>
      </x:c>
      <x:c r="B31" s="6" t="str">
        <x:v>WideBot</x:v>
      </x:c>
      <x:c r="C31" s="6" t="str">
        <x:v>الإمارات</x:v>
      </x:c>
      <x:c r="D31" s="6" t="str">
        <x:v>الذكاء الاصطناعي</x:v>
      </x:c>
      <x:c r="E31" s="6" t="n">
        <x:v>2020</x:v>
      </x:c>
      <x:c r="F31" s="6" t="str">
        <x:v>Mohamed Nabil</x:v>
      </x:c>
      <x:c r="G31" s="6" t="str">
        <x:v>غير متاح في المصادر المراجعة</x:v>
      </x:c>
      <x:c r="H31" s="6" t="str">
        <x:v>غير متاح في المصادر المراجعة</x:v>
      </x:c>
      <x:c r="I31" s="6" t="str">
        <x:v>نموذج / موقع الجهة</x:v>
      </x:c>
      <x:c r="J31" s="14" t="e">
        <x:f>HYPERLINK("https://widebot.ai","widebot.ai")</x:f>
        <x:v>HYPERLINK is not implemented. linkLocation=https://widebot.ai, friendlyName=widebot.ai</x:v>
      </x:c>
      <x:c r="K31" s="6" t="str">
        <x:v>غير مؤكد من المصادر المراجعة</x:v>
      </x:c>
      <x:c r="L31" s="6" t="str">
        <x:v>Pre-Series A</x:v>
      </x:c>
      <x:c r="M31" s="12" t="n">
        <x:v>3000000</x:v>
      </x:c>
      <x:c r="N31" s="6" t="str">
        <x:v>2025</x:v>
      </x:c>
      <x:c r="O31" s="6" t="str">
        <x:v>استثمار معلن</x:v>
      </x:c>
      <x:c r="P31" s="13" t="str">
        <x:v>لم يتم التواصل</x:v>
      </x:c>
      <x:c r="Q31" s="6" t="str">
        <x:v>تأكيد بيانات الشركة واحتياجها للتمويل / المشاركة</x:v>
      </x:c>
      <x:c r="R31" s="6" t="str"/>
      <x:c r="S31" s="11" t="d">
        <x:v>2026-10-22T06:00:00.000Z</x:v>
      </x:c>
      <x:c r="T31" s="14" t="e">
        <x:f>HYPERLINK("https://www.aclweb.org/anthology/2020.semeval-1.298.pdf","aclweb.org")</x:f>
        <x:v>HYPERLINK is not implemented. linkLocation=https://www.aclweb.org/anthology/2020.semeval-1.298.pdf, friendlyName=aclweb.org</x:v>
      </x:c>
      <x:c r="U31" s="14" t="str">
        <x:v>https://www.crunchbase.com/organization/widebot
https://widebot.ai/blog/widebot-preseriesa-rou
https://www.wamda.com/index.php/2019/06/widebot-closes-pre-series-round</x:v>
      </x:c>
      <x:c r="V31" s="14" t="e">
        <x:f>HYPERLINK("https://widebot.ai/blog/widebot-preseriesa-rou","widebot.ai")</x:f>
        <x:v>HYPERLINK is not implemented. linkLocation=https://widebot.ai/blog/widebot-preseriesa-rou, friendlyName=widebot.ai</x:v>
      </x:c>
      <x:c r="W31" s="14" t="str">
        <x:v>غير متاح في المصادر المراجعة</x:v>
      </x:c>
      <x:c r="X31" s="14" t="str">
        <x:v>غير متاح في المصادر المراجعة</x:v>
      </x:c>
      <x:c r="Y31" s="14" t="e">
        <x:f>HYPERLINK("https://widebot.ai/solutions/customer-support","widebot.ai")</x:f>
        <x:v>HYPERLINK is not implemented. linkLocation=https://widebot.ai/solutions/customer-support, friendlyName=widebot.ai</x:v>
      </x:c>
      <x:c r="Z31" s="6" t="str">
        <x:v>غير متاح في المصادر المراجعة</x:v>
      </x:c>
      <x:c r="AA31" s="6" t="str">
        <x:v>غير متاح في المصادر المراجعة</x:v>
      </x:c>
    </x:row>
    <x:row r="32" ht="45" customHeight="1">
      <x:c r="A32" s="10" t="str">
        <x:v>S027</x:v>
      </x:c>
      <x:c r="B32" s="6" t="str">
        <x:v>Wisewell</x:v>
      </x:c>
      <x:c r="C32" s="6" t="str">
        <x:v>دبي</x:v>
      </x:c>
      <x:c r="D32" s="6" t="str">
        <x:v>تقنيات المياه</x:v>
      </x:c>
      <x:c r="E32" s="6" t="n">
        <x:v>2021</x:v>
      </x:c>
      <x:c r="F32" s="6" t="str">
        <x:v>Sami Khoreibi; Sebastien Wakim</x:v>
      </x:c>
      <x:c r="G32" s="6" t="str">
        <x:v>support@wisewell.com</x:v>
      </x:c>
      <x:c r="H32" s="6" t="str">
        <x:v>غير متاح في المصادر المراجعة</x:v>
      </x:c>
      <x:c r="I32" s="6" t="str">
        <x:v>دعم / خدمة عملاء؛ اطلب التحويل</x:v>
      </x:c>
      <x:c r="J32" s="14" t="e">
        <x:f>HYPERLINK("https://wisewell.ae","wisewell.ae")</x:f>
        <x:v>HYPERLINK is not implemented. linkLocation=https://wisewell.ae, friendlyName=wisewell.ae</x:v>
      </x:c>
      <x:c r="K32" s="6" t="str">
        <x:v>غير مؤكد من المصادر المراجعة</x:v>
      </x:c>
      <x:c r="L32" s="6" t="str">
        <x:v>غير متاح في المصادر المراجعة</x:v>
      </x:c>
      <x:c r="M32" s="12" t="str">
        <x:v>غير متاح في المصادر المراجعة</x:v>
      </x:c>
      <x:c r="N32" s="6" t="str">
        <x:v>غير متاح في المصادر المراجعة</x:v>
      </x:c>
      <x:c r="O32" s="6" t="str">
        <x:v>لا توجد جولة محددة موثقة ضمن هذه المراجعة</x:v>
      </x:c>
      <x:c r="P32" s="13" t="str">
        <x:v>لم يتم التواصل</x:v>
      </x:c>
      <x:c r="Q32" s="6" t="str">
        <x:v>تأكيد بيانات الشركة واحتياجها للتمويل / المشاركة</x:v>
      </x:c>
      <x:c r="R32" s="6" t="str"/>
      <x:c r="S32" s="11" t="d">
        <x:v>2026-10-22T06:00:00.000Z</x:v>
      </x:c>
      <x:c r="T32" s="14" t="e">
        <x:f>HYPERLINK("https://www.wisewell.com/pages/about-us","wisewell.com")</x:f>
        <x:v>HYPERLINK is not implemented. linkLocation=https://www.wisewell.com/pages/about-us, friendlyName=wisewell.com</x:v>
      </x:c>
      <x:c r="U32" s="14" t="str">
        <x:v>https://www.wisewell.com/pages/about-us
https://www.wamda.com/index.php/en/2022/04/water-sustainability-startup-wisewell-raises-2-million-pre-seed-round
https://www.arabnews.com/business/uae-clean-water-startup-wisewell-raises-2m-in-pre-seed-round-2061741</x:v>
      </x:c>
      <x:c r="V32" s="14" t="str">
        <x:v>غير متاح في المصادر المراجعة</x:v>
      </x:c>
      <x:c r="W32" s="14" t="e">
        <x:f>HYPERLINK("https://www.wisewell.ae/policies/terms-of-service","wisewell.ae")</x:f>
        <x:v>HYPERLINK is not implemented. linkLocation=https://www.wisewell.ae/policies/terms-of-service, friendlyName=wisewell.ae</x:v>
      </x:c>
      <x:c r="X32" s="14" t="str">
        <x:v>غير متاح في المصادر المراجعة</x:v>
      </x:c>
      <x:c r="Y32" s="14" t="e">
        <x:f>HYPERLINK("https://www.wisewell.ae/pages/contacts","wisewell.ae")</x:f>
        <x:v>HYPERLINK is not implemented. linkLocation=https://www.wisewell.ae/pages/contacts, friendlyName=wisewell.ae</x:v>
      </x:c>
      <x:c r="Z32" s="6" t="str">
        <x:v>موقع الجهة أو قناة مرتبطة بها</x:v>
      </x:c>
      <x:c r="AA32" s="6" t="str">
        <x:v>غير متاح في المصادر المراجعة</x:v>
      </x:c>
    </x:row>
    <x:row r="33" ht="45" customHeight="1">
      <x:c r="A33" s="10" t="str">
        <x:v>S028</x:v>
      </x:c>
      <x:c r="B33" s="6" t="str">
        <x:v>XPANCEO</x:v>
      </x:c>
      <x:c r="C33" s="6" t="str">
        <x:v>دبي</x:v>
      </x:c>
      <x:c r="D33" s="6" t="str">
        <x:v>التقنية العميقة</x:v>
      </x:c>
      <x:c r="E33" s="6" t="n">
        <x:v>2021</x:v>
      </x:c>
      <x:c r="F33" s="6" t="str">
        <x:v>Roman Axelrod</x:v>
      </x:c>
      <x:c r="G33" s="6" t="str">
        <x:v>hello@xpanceo.com</x:v>
      </x:c>
      <x:c r="H33" s="6" t="str">
        <x:v>غير متاح في المصادر المراجعة</x:v>
      </x:c>
      <x:c r="I33" s="6" t="str">
        <x:v>استفسارات عامة</x:v>
      </x:c>
      <x:c r="J33" s="14" t="e">
        <x:f>HYPERLINK("https://xpanceo.com","xpanceo.com")</x:f>
        <x:v>HYPERLINK is not implemented. linkLocation=https://xpanceo.com, friendlyName=xpanceo.com</x:v>
      </x:c>
      <x:c r="K33" s="6" t="str">
        <x:v>غير مؤكد من المصادر المراجعة</x:v>
      </x:c>
      <x:c r="L33" s="6" t="str">
        <x:v>Series A</x:v>
      </x:c>
      <x:c r="M33" s="12" t="n">
        <x:v>250000000</x:v>
      </x:c>
      <x:c r="N33" s="6" t="str">
        <x:v>2025-07-08</x:v>
      </x:c>
      <x:c r="O33" s="6" t="str">
        <x:v>استثمار معلن</x:v>
      </x:c>
      <x:c r="P33" s="13" t="str">
        <x:v>لم يتم التواصل</x:v>
      </x:c>
      <x:c r="Q33" s="6" t="str">
        <x:v>تأكيد بيانات الشركة واحتياجها للتمويل / المشاركة</x:v>
      </x:c>
      <x:c r="R33" s="6" t="str">
        <x:v>شركة تقنية عميقة في مرحلة توسع؛ أعلنت تقييماً يتجاوز مليار دولار في 2025.</x:v>
      </x:c>
      <x:c r="S33" s="11" t="d">
        <x:v>2026-10-22T06:00:00.000Z</x:v>
      </x:c>
      <x:c r="T33" s="14" t="e">
        <x:f>HYPERLINK("https://xpanceo.com/legal/privacy.pdf","xpanceo.com")</x:f>
        <x:v>HYPERLINK is not implemented. linkLocation=https://xpanceo.com/legal/privacy.pdf, friendlyName=xpanceo.com</x:v>
      </x:c>
      <x:c r="U33" s="14" t="str">
        <x:v>https://prospeo.io/c/xpanceo-email-format
https://xpanceo.com/newsroom/xpanceo-becomes-a-unicorn-with-250m-raise
https://www.wamda.com/en/2025/07/xpanceo-secures-250-million-series-135-billion-valuation</x:v>
      </x:c>
      <x:c r="V33" s="14" t="e">
        <x:f>HYPERLINK("https://xpanceo.com/newsroom/xpanceo-becomes-a-unicorn-with-250m-raise","xpanceo.com")</x:f>
        <x:v>HYPERLINK is not implemented. linkLocation=https://xpanceo.com/newsroom/xpanceo-becomes-a-unicorn-with-250m-raise, friendlyName=xpanceo.com</x:v>
      </x:c>
      <x:c r="W33" s="14" t="e">
        <x:f>HYPERLINK("https://www.xpanceo.com/contacts","xpanceo.com")</x:f>
        <x:v>HYPERLINK is not implemented. linkLocation=https://www.xpanceo.com/contacts, friendlyName=xpanceo.com</x:v>
      </x:c>
      <x:c r="X33" s="14" t="str">
        <x:v>غير متاح في المصادر المراجعة</x:v>
      </x:c>
      <x:c r="Y33" s="14" t="e">
        <x:f>HYPERLINK("https://www.xpanceo.com/contacts","xpanceo.com")</x:f>
        <x:v>HYPERLINK is not implemented. linkLocation=https://www.xpanceo.com/contacts, friendlyName=xpanceo.com</x:v>
      </x:c>
      <x:c r="Z33" s="6" t="str">
        <x:v>موقع الجهة أو قناة مرتبطة بها</x:v>
      </x:c>
      <x:c r="AA33" s="6" t="str">
        <x:v>غير متاح في المصادر المراجعة</x:v>
      </x:c>
    </x:row>
    <x:row r="34" ht="45" customHeight="1">
      <x:c r="A34" s="10" t="str">
        <x:v>S029</x:v>
      </x:c>
      <x:c r="B34" s="6" t="str">
        <x:v>Zeroe</x:v>
      </x:c>
      <x:c r="C34" s="6" t="str">
        <x:v>دبي</x:v>
      </x:c>
      <x:c r="D34" s="6" t="str">
        <x:v>إدارة الكربون</x:v>
      </x:c>
      <x:c r="E34" s="6" t="n">
        <x:v>2023</x:v>
      </x:c>
      <x:c r="F34" s="6" t="str">
        <x:v>Farouk Jivani; Ali Najafian</x:v>
      </x:c>
      <x:c r="G34" s="6" t="str">
        <x:v>hello@zeroe.io</x:v>
      </x:c>
      <x:c r="H34" s="6" t="str">
        <x:v>غير متاح في المصادر المراجعة</x:v>
      </x:c>
      <x:c r="I34" s="6" t="str">
        <x:v>استفسارات عامة</x:v>
      </x:c>
      <x:c r="J34" s="14" t="e">
        <x:f>HYPERLINK("https://zeroe.io","zeroe.io")</x:f>
        <x:v>HYPERLINK is not implemented. linkLocation=https://zeroe.io, friendlyName=zeroe.io</x:v>
      </x:c>
      <x:c r="K34" s="6" t="str">
        <x:v>غير مؤكد من المصادر المراجعة</x:v>
      </x:c>
      <x:c r="L34" s="6" t="str">
        <x:v>Seed</x:v>
      </x:c>
      <x:c r="M34" s="12" t="n">
        <x:v>2200000</x:v>
      </x:c>
      <x:c r="N34" s="6" t="str">
        <x:v>2023-12</x:v>
      </x:c>
      <x:c r="O34" s="6" t="str">
        <x:v>استثمار معلن</x:v>
      </x:c>
      <x:c r="P34" s="13" t="str">
        <x:v>لم يتم التواصل</x:v>
      </x:c>
      <x:c r="Q34" s="6" t="str">
        <x:v>تأكيد بيانات الشركة واحتياجها للتمويل / المشاركة</x:v>
      </x:c>
      <x:c r="R34" s="6" t="str"/>
      <x:c r="S34" s="11" t="d">
        <x:v>2026-10-22T06:00:00.000Z</x:v>
      </x:c>
      <x:c r="T34" s="14" t="e">
        <x:f>HYPERLINK("https://www.yello.ae/company/367839/zeroe","yello.ae")</x:f>
        <x:v>HYPERLINK is not implemented. linkLocation=https://www.yello.ae/company/367839/zeroe, friendlyName=yello.ae</x:v>
      </x:c>
      <x:c r="U34" s="14" t="str">
        <x:v>https://www.zeroe.io/
https://www.signalhire.com/companies/zeroe/employees
https://www.wamda.com/en/2023/12/uae-zeroe-raises-2-2-million-seed-round</x:v>
      </x:c>
      <x:c r="V34" s="14" t="e">
        <x:f>HYPERLINK("https://www.wamda.com/en/2023/12/uae-zeroe-raises-2-2-million-seed-round","wamda.com")</x:f>
        <x:v>HYPERLINK is not implemented. linkLocation=https://www.wamda.com/en/2023/12/uae-zeroe-raises-2-2-million-seed-round, friendlyName=wamda.com</x:v>
      </x:c>
      <x:c r="W34" s="14" t="e">
        <x:f>HYPERLINK("https://www.zeroe.io/","zeroe.io")</x:f>
        <x:v>HYPERLINK is not implemented. linkLocation=https://www.zeroe.io/, friendlyName=zeroe.io</x:v>
      </x:c>
      <x:c r="X34" s="14" t="str">
        <x:v>غير متاح في المصادر المراجعة</x:v>
      </x:c>
      <x:c r="Y34" s="14" t="e">
        <x:f>HYPERLINK("https://www.zeroe.io/","zeroe.io")</x:f>
        <x:v>HYPERLINK is not implemented. linkLocation=https://www.zeroe.io/, friendlyName=zeroe.io</x:v>
      </x:c>
      <x:c r="Z34" s="6" t="str">
        <x:v>موقع الجهة أو قناة مرتبطة بها</x:v>
      </x:c>
      <x:c r="AA34" s="6" t="str">
        <x:v>غير متاح في المصادر المراجعة</x:v>
      </x:c>
    </x:row>
    <x:row r="35" ht="45" customHeight="1">
      <x:c r="A35" s="10" t="str">
        <x:v>S030</x:v>
      </x:c>
      <x:c r="B35" s="6" t="str">
        <x:v>Immensa</x:v>
      </x:c>
      <x:c r="C35" s="6" t="str">
        <x:v>دبي</x:v>
      </x:c>
      <x:c r="D35" s="6" t="str">
        <x:v>التصنيع الرقمي</x:v>
      </x:c>
      <x:c r="E35" s="6" t="n">
        <x:v>2016</x:v>
      </x:c>
      <x:c r="F35" s="6" t="str">
        <x:v>Fahmi Al Shawwa</x:v>
      </x:c>
      <x:c r="G35" s="6" t="str">
        <x:v>inquiry@immensa.io</x:v>
      </x:c>
      <x:c r="H35" s="6" t="str">
        <x:v>+971 4 443 1538</x:v>
      </x:c>
      <x:c r="I35" s="6" t="str">
        <x:v>أعمال / مبيعات / تمويل</x:v>
      </x:c>
      <x:c r="J35" s="14" t="e">
        <x:f>HYPERLINK("https://immensa.io","immensa.io")</x:f>
        <x:v>HYPERLINK is not implemented. linkLocation=https://immensa.io, friendlyName=immensa.io</x:v>
      </x:c>
      <x:c r="K35" s="6" t="str">
        <x:v>غير مؤكد من المصادر المراجعة</x:v>
      </x:c>
      <x:c r="L35" s="6" t="str">
        <x:v>جولة تمويل</x:v>
      </x:c>
      <x:c r="M35" s="12" t="n">
        <x:v>20000000</x:v>
      </x:c>
      <x:c r="N35" s="6" t="str">
        <x:v>2023-11-28</x:v>
      </x:c>
      <x:c r="O35" s="6" t="str">
        <x:v>استثمار معلن</x:v>
      </x:c>
      <x:c r="P35" s="13" t="str">
        <x:v>لم يتم التواصل</x:v>
      </x:c>
      <x:c r="Q35" s="6" t="str">
        <x:v>تأكيد بيانات الشركة واحتياجها للتمويل / المشاركة</x:v>
      </x:c>
      <x:c r="R35" s="6" t="str"/>
      <x:c r="S35" s="11" t="d">
        <x:v>2026-10-22T06:00:00.000Z</x:v>
      </x:c>
      <x:c r="T35" s="14" t="e">
        <x:f>HYPERLINK("https://techcrunch.com/2023/11/28/immensa-a-mena-based-additive-manufacturing-and-digital-inventory-platform-raises-20-million/","techcrunch.com")</x:f>
        <x:v>HYPERLINK is not implemented. linkLocation=https://techcrunch.com/2023/11/28/immensa-a-mena-based-additive-manufacturing-and-digital-inventory-platform-raises-20-million/, friendlyName=techcrunch.com</x:v>
      </x:c>
      <x:c r="U35" s="14" t="str">
        <x:v>https://techcrunch.com/2023/11/28/immensa-a-mena-based-additive-manufacturing-and-digital-inventory-platform-raises-20-million/
https://dfdf.vc/press-releases/immensa-raises-growth-capital-from-dubai-future-district-fund-and-global-ventures-to-strengthen-global-advanced-manufacturing-and-supply-chain-resilience-from-dubai/
https://immensa.io/news/immensa-growth-capital-dubai-future-district-fund/</x:v>
      </x:c>
      <x:c r="V35" s="14" t="e">
        <x:f>HYPERLINK("https://techcrunch.com/2023/11/28/immensa-a-mena-based-additive-manufacturing-and-digital-inventory-platform-raises-20-million/","techcrunch.com")</x:f>
        <x:v>HYPERLINK is not implemented. linkLocation=https://techcrunch.com/2023/11/28/immensa-a-mena-based-additive-manufacturing-and-digital-inventory-platform-raises-20-million/, friendlyName=techcrunch.com</x:v>
      </x:c>
      <x:c r="W35" s="14" t="e">
        <x:f>HYPERLINK("https://immensa.io/contact-us/","immensa.io")</x:f>
        <x:v>HYPERLINK is not implemented. linkLocation=https://immensa.io/contact-us/, friendlyName=immensa.io</x:v>
      </x:c>
      <x:c r="X35" s="14" t="e">
        <x:f>HYPERLINK("https://immensa.io/contact-us/","immensa.io")</x:f>
        <x:v>HYPERLINK is not implemented. linkLocation=https://immensa.io/contact-us/, friendlyName=immensa.io</x:v>
      </x:c>
      <x:c r="Y35" s="14" t="e">
        <x:f>HYPERLINK("https://immensa.io/contact-us/","immensa.io")</x:f>
        <x:v>HYPERLINK is not implemented. linkLocation=https://immensa.io/contact-us/, friendlyName=immensa.io</x:v>
      </x:c>
      <x:c r="Z35" s="6" t="str">
        <x:v>موقع الجهة أو قناة مرتبطة بها</x:v>
      </x:c>
      <x:c r="AA35" s="6" t="str">
        <x:v>موقع الجهة أو قناة مرتبطة بها</x:v>
      </x:c>
    </x:row>
    <x:row r="36" ht="45" customHeight="1">
      <x:c r="A36" s="10" t="str">
        <x:v>S031</x:v>
      </x:c>
      <x:c r="B36" s="6" t="str">
        <x:v>Keyper</x:v>
      </x:c>
      <x:c r="C36" s="6" t="str">
        <x:v>دبي</x:v>
      </x:c>
      <x:c r="D36" s="6" t="str">
        <x:v>التقنية العقارية</x:v>
      </x:c>
      <x:c r="E36" s="6" t="n">
        <x:v>2022</x:v>
      </x:c>
      <x:c r="F36" s="6" t="str">
        <x:v>Omar Abu Innab; Walid Shihabi</x:v>
      </x:c>
      <x:c r="G36" s="6" t="str">
        <x:v>hello@realkeyper.com</x:v>
      </x:c>
      <x:c r="H36" s="6" t="str">
        <x:v>800 539737</x:v>
      </x:c>
      <x:c r="I36" s="6" t="str">
        <x:v>استفسارات عامة</x:v>
      </x:c>
      <x:c r="J36" s="14" t="e">
        <x:f>HYPERLINK("https://realkeyper.com","realkeyper.com")</x:f>
        <x:v>HYPERLINK is not implemented. linkLocation=https://realkeyper.com, friendlyName=realkeyper.com</x:v>
      </x:c>
      <x:c r="K36" s="6" t="str">
        <x:v>غير مؤكد من المصادر المراجعة</x:v>
      </x:c>
      <x:c r="L36" s="6" t="str">
        <x:v>Seed</x:v>
      </x:c>
      <x:c r="M36" s="12" t="str">
        <x:v>غير متاح في المصادر المراجعة</x:v>
      </x:c>
      <x:c r="N36" s="6" t="str">
        <x:v>2024</x:v>
      </x:c>
      <x:c r="O36" s="6" t="str">
        <x:v>مرحلة استثمار BECO في سجل المحفظة</x:v>
      </x:c>
      <x:c r="P36" s="13" t="str">
        <x:v>لم يتم التواصل</x:v>
      </x:c>
      <x:c r="Q36" s="6" t="str">
        <x:v>تأكيد بيانات الشركة واحتياجها للتمويل / المشاركة</x:v>
      </x:c>
      <x:c r="R36" s="6" t="str"/>
      <x:c r="S36" s="11" t="d">
        <x:v>2026-10-22T06:00:00.000Z</x:v>
      </x:c>
      <x:c r="T36" s="14" t="e">
        <x:f>HYPERLINK("https://www.becocapital.com/portfolio/keyper/","becocapital.com")</x:f>
        <x:v>HYPERLINK is not implemented. linkLocation=https://www.becocapital.com/portfolio/keyper/, friendlyName=becocapital.com</x:v>
      </x:c>
      <x:c r="U36" s="14" t="str">
        <x:v>https://www.becocapital.com/portfolio/keyper/
https://www.wamda.com/en/2024/05/keyper-secures-34-million-mix-equity-sukuk
https://www.realkeyper.com/about</x:v>
      </x:c>
      <x:c r="V36" s="14" t="e">
        <x:f>HYPERLINK("https://www.becocapital.com/portfolio/keyper/","becocapital.com")</x:f>
        <x:v>HYPERLINK is not implemented. linkLocation=https://www.becocapital.com/portfolio/keyper/, friendlyName=becocapital.com</x:v>
      </x:c>
      <x:c r="W36" s="14" t="e">
        <x:f>HYPERLINK("https://www.realkeyper.com/","realkeyper.com")</x:f>
        <x:v>HYPERLINK is not implemented. linkLocation=https://www.realkeyper.com/, friendlyName=realkeyper.com</x:v>
      </x:c>
      <x:c r="X36" s="14" t="e">
        <x:f>HYPERLINK("https://www.realkeyper.com/","realkeyper.com")</x:f>
        <x:v>HYPERLINK is not implemented. linkLocation=https://www.realkeyper.com/, friendlyName=realkeyper.com</x:v>
      </x:c>
      <x:c r="Y36" s="14" t="e">
        <x:f>HYPERLINK("https://www.realkeyper.com/faq","realkeyper.com")</x:f>
        <x:v>HYPERLINK is not implemented. linkLocation=https://www.realkeyper.com/faq, friendlyName=realkeyper.com</x:v>
      </x:c>
      <x:c r="Z36" s="6" t="str">
        <x:v>موقع الجهة أو قناة مرتبطة بها</x:v>
      </x:c>
      <x:c r="AA36" s="6" t="str">
        <x:v>موقع الجهة أو قناة مرتبطة بها</x:v>
      </x:c>
    </x:row>
    <x:row r="37" ht="45" customHeight="1">
      <x:c r="A37" s="10" t="str">
        <x:v>S032</x:v>
      </x:c>
      <x:c r="B37" s="6" t="str">
        <x:v>Nabta Health</x:v>
      </x:c>
      <x:c r="C37" s="6" t="str">
        <x:v>الشارقة</x:v>
      </x:c>
      <x:c r="D37" s="6" t="str">
        <x:v>صحة المرأة</x:v>
      </x:c>
      <x:c r="E37" s="6" t="n">
        <x:v>2017</x:v>
      </x:c>
      <x:c r="F37" s="6" t="str">
        <x:v>Sophie Smith; Mussaad Al-Razouki</x:v>
      </x:c>
      <x:c r="G37" s="6" t="str">
        <x:v>yalla@nabtahealth.com</x:v>
      </x:c>
      <x:c r="H37" s="6" t="str">
        <x:v>+971 6 526 9560</x:v>
      </x:c>
      <x:c r="I37" s="6" t="str">
        <x:v>استفسارات عامة</x:v>
      </x:c>
      <x:c r="J37" s="14" t="e">
        <x:f>HYPERLINK("https://nabtahealth.com","nabtahealth.com")</x:f>
        <x:v>HYPERLINK is not implemented. linkLocation=https://nabtahealth.com, friendlyName=nabtahealth.com</x:v>
      </x:c>
      <x:c r="K37" s="6" t="str">
        <x:v>غير مؤكد من المصادر المراجعة</x:v>
      </x:c>
      <x:c r="L37" s="6" t="str">
        <x:v>غير متاح في المصادر المراجعة</x:v>
      </x:c>
      <x:c r="M37" s="12" t="str">
        <x:v>غير متاح في المصادر المراجعة</x:v>
      </x:c>
      <x:c r="N37" s="6" t="str">
        <x:v>غير متاح في المصادر المراجعة</x:v>
      </x:c>
      <x:c r="O37" s="6" t="str">
        <x:v>لا توجد جولة محددة موثقة ضمن هذه المراجعة</x:v>
      </x:c>
      <x:c r="P37" s="13" t="str">
        <x:v>لم يتم التواصل</x:v>
      </x:c>
      <x:c r="Q37" s="6" t="str">
        <x:v>تأكيد بيانات الشركة واحتياجها للتمويل / المشاركة</x:v>
      </x:c>
      <x:c r="R37" s="6" t="str"/>
      <x:c r="S37" s="11" t="d">
        <x:v>2026-10-22T06:00:00.000Z</x:v>
      </x:c>
      <x:c r="T37" s="14" t="e">
        <x:f>HYPERLINK("https://hospitecnia.com/sites/default/files/158829227031588292270.pdf","hospitecnia.com")</x:f>
        <x:v>HYPERLINK is not implemented. linkLocation=https://hospitecnia.com/sites/default/files/158829227031588292270.pdf, friendlyName=hospitecnia.com</x:v>
      </x:c>
      <x:c r="U37" s="14" t="str">
        <x:v>https://hospitecnia.com/sites/default/files/158829227031588292270.pdf
https://nabtahealth.dev/about-nabta/
https://www.crunchbase.com/organization/nabta-health-corporation</x:v>
      </x:c>
      <x:c r="V37" s="14" t="str">
        <x:v>غير متاح في المصادر المراجعة</x:v>
      </x:c>
      <x:c r="W37" s="14" t="e">
        <x:f>HYPERLINK("https://play.google.com/store/apps/details?id=com.nabtahealth.nabta","play.google.com")</x:f>
        <x:v>HYPERLINK is not implemented. linkLocation=https://play.google.com/store/apps/details?id=com.nabtahealth.nabta, friendlyName=play.google.com</x:v>
      </x:c>
      <x:c r="X37" s="14" t="e">
        <x:f>HYPERLINK("https://play.google.com/store/apps/details?id=com.nabtahealth.nabta","play.google.com")</x:f>
        <x:v>HYPERLINK is not implemented. linkLocation=https://play.google.com/store/apps/details?id=com.nabtahealth.nabta, friendlyName=play.google.com</x:v>
      </x:c>
      <x:c r="Y37" s="14" t="e">
        <x:f>HYPERLINK("https://nabtahealth.com/contact/?lang=ar","nabtahealth.com")</x:f>
        <x:v>HYPERLINK is not implemented. linkLocation=https://nabtahealth.com/contact/?lang=ar, friendlyName=nabtahealth.com</x:v>
      </x:c>
      <x:c r="Z37" s="6" t="str">
        <x:v>قائمة تطبيق ينشرها المطور</x:v>
      </x:c>
      <x:c r="AA37" s="6" t="str">
        <x:v>قائمة تطبيق ينشرها المطور</x:v>
      </x:c>
    </x:row>
    <x:row r="38" ht="45" customHeight="1">
      <x:c r="A38" s="10" t="str">
        <x:v>S033</x:v>
      </x:c>
      <x:c r="B38" s="6" t="str">
        <x:v>myZoi</x:v>
      </x:c>
      <x:c r="C38" s="6" t="str">
        <x:v>دبي</x:v>
      </x:c>
      <x:c r="D38" s="6" t="str">
        <x:v>الشمول المالي</x:v>
      </x:c>
      <x:c r="E38" s="6" t="str">
        <x:v>غير متاح في المصادر المراجعة</x:v>
      </x:c>
      <x:c r="F38" s="6" t="str">
        <x:v>غير متاح في المصادر المراجعة</x:v>
      </x:c>
      <x:c r="G38" s="6" t="str">
        <x:v>info@myzoi.life</x:v>
      </x:c>
      <x:c r="H38" s="6" t="str">
        <x:v>800 69964</x:v>
      </x:c>
      <x:c r="I38" s="6" t="str">
        <x:v>استفسارات عامة</x:v>
      </x:c>
      <x:c r="J38" s="14" t="e">
        <x:f>HYPERLINK("https://myzoi.com","myzoi.com")</x:f>
        <x:v>HYPERLINK is not implemented. linkLocation=https://myzoi.com, friendlyName=myzoi.com</x:v>
      </x:c>
      <x:c r="K38" s="6" t="str">
        <x:v>غير مؤكد من المصادر المراجعة</x:v>
      </x:c>
      <x:c r="L38" s="6" t="str">
        <x:v>غير متاح في المصادر المراجعة</x:v>
      </x:c>
      <x:c r="M38" s="12" t="str">
        <x:v>غير متاح في المصادر المراجعة</x:v>
      </x:c>
      <x:c r="N38" s="6" t="str">
        <x:v>غير متاح في المصادر المراجعة</x:v>
      </x:c>
      <x:c r="O38" s="6" t="str">
        <x:v>لا توجد جولة محددة موثقة ضمن هذه المراجعة</x:v>
      </x:c>
      <x:c r="P38" s="13" t="str">
        <x:v>لم يتم التواصل</x:v>
      </x:c>
      <x:c r="Q38" s="6" t="str">
        <x:v>تأكيد بيانات الشركة واحتياجها للتمويل / المشاركة</x:v>
      </x:c>
      <x:c r="R38" s="6" t="str"/>
      <x:c r="S38" s="11" t="d">
        <x:v>2026-10-22T06:00:00.000Z</x:v>
      </x:c>
      <x:c r="T38" s="14" t="e">
        <x:f>HYPERLINK("https://www.myzoi.com/contact-us/","myzoi.com")</x:f>
        <x:v>HYPERLINK is not implemented. linkLocation=https://www.myzoi.com/contact-us/, friendlyName=myzoi.com</x:v>
      </x:c>
      <x:c r="U38" s="14" t="str">
        <x:v>غير متاح في المصادر المراجعة</x:v>
      </x:c>
      <x:c r="V38" s="14" t="str">
        <x:v>غير متاح في المصادر المراجعة</x:v>
      </x:c>
      <x:c r="W38" s="14" t="e">
        <x:f>HYPERLINK("https://www.myzoi.com/contact-us/","myzoi.com")</x:f>
        <x:v>HYPERLINK is not implemented. linkLocation=https://www.myzoi.com/contact-us/, friendlyName=myzoi.com</x:v>
      </x:c>
      <x:c r="X38" s="14" t="e">
        <x:f>HYPERLINK("https://www.myzoi.com/contact-us/","myzoi.com")</x:f>
        <x:v>HYPERLINK is not implemented. linkLocation=https://www.myzoi.com/contact-us/, friendlyName=myzoi.com</x:v>
      </x:c>
      <x:c r="Y38" s="14" t="e">
        <x:f>HYPERLINK("https://www.myzoi.com/contact-us/","myzoi.com")</x:f>
        <x:v>HYPERLINK is not implemented. linkLocation=https://www.myzoi.com/contact-us/, friendlyName=myzoi.com</x:v>
      </x:c>
      <x:c r="Z38" s="6" t="str">
        <x:v>موقع الجهة أو قناة مرتبطة بها</x:v>
      </x:c>
      <x:c r="AA38" s="6" t="str">
        <x:v>موقع الجهة أو قناة مرتبطة بها</x:v>
      </x:c>
    </x:row>
    <x:row r="39" ht="45" customHeight="1">
      <x:c r="A39" s="10" t="str">
        <x:v>S034</x:v>
      </x:c>
      <x:c r="B39" s="6" t="str">
        <x:v>Net0</x:v>
      </x:c>
      <x:c r="C39" s="6" t="str">
        <x:v>دبي</x:v>
      </x:c>
      <x:c r="D39" s="6" t="str">
        <x:v>الذكاء الاصطناعي والاستدامة</x:v>
      </x:c>
      <x:c r="E39" s="6" t="n">
        <x:v>2023</x:v>
      </x:c>
      <x:c r="F39" s="6" t="str">
        <x:v>غير متاح في المصادر المراجعة</x:v>
      </x:c>
      <x:c r="G39" s="6" t="str">
        <x:v>غير متاح في المصادر المراجعة</x:v>
      </x:c>
      <x:c r="H39" s="6" t="str">
        <x:v>غير متاح في المصادر المراجعة</x:v>
      </x:c>
      <x:c r="I39" s="6" t="str">
        <x:v>نموذج / موقع الجهة</x:v>
      </x:c>
      <x:c r="J39" s="14" t="e">
        <x:f>HYPERLINK("https://net0.com","net0.com")</x:f>
        <x:v>HYPERLINK is not implemented. linkLocation=https://net0.com, friendlyName=net0.com</x:v>
      </x:c>
      <x:c r="K39" s="6" t="str">
        <x:v>غير مؤكد من المصادر المراجعة</x:v>
      </x:c>
      <x:c r="L39" s="6" t="str">
        <x:v>غير متاح في المصادر المراجعة</x:v>
      </x:c>
      <x:c r="M39" s="12" t="str">
        <x:v>غير متاح في المصادر المراجعة</x:v>
      </x:c>
      <x:c r="N39" s="6" t="str">
        <x:v>غير متاح في المصادر المراجعة</x:v>
      </x:c>
      <x:c r="O39" s="6" t="str">
        <x:v>لا توجد جولة محددة موثقة ضمن هذه المراجعة</x:v>
      </x:c>
      <x:c r="P39" s="13" t="str">
        <x:v>لم يتم التواصل</x:v>
      </x:c>
      <x:c r="Q39" s="6" t="str">
        <x:v>تأكيد بيانات الشركة واحتياجها للتمويل / المشاركة</x:v>
      </x:c>
      <x:c r="R39" s="6" t="str"/>
      <x:c r="S39" s="11" t="d">
        <x:v>2026-10-22T06:00:00.000Z</x:v>
      </x:c>
      <x:c r="T39" s="14" t="e">
        <x:f>HYPERLINK("https://cdn.asp.events/CLIENT_Innovati_94A26F7C_B3C0_752F_CC179EFAFD17992A/sites/Innovation-Zero-2023/media/2024_Innovation_Zero_Awards_Shortlisted-Candidates-and-Winners.pdf","cdn.asp.events")</x:f>
        <x:v>HYPERLINK is not implemented. linkLocation=https://cdn.asp.events/CLIENT_Innovati_94A26F7C_B3C0_752F_CC179EFAFD17992A/sites/Innovation-Zero-2023/media/2024_Innovation_Zero_Awards_Shortlisted-Candidates-and-Winners.pdf, friendlyName=cdn.asp.events</x:v>
      </x:c>
      <x:c r="U39" s="14" t="str">
        <x:v>غير متاح في المصادر المراجعة</x:v>
      </x:c>
      <x:c r="V39" s="14" t="str">
        <x:v>غير متاح في المصادر المراجعة</x:v>
      </x:c>
      <x:c r="W39" s="14" t="str">
        <x:v>غير متاح في المصادر المراجعة</x:v>
      </x:c>
      <x:c r="X39" s="14" t="str">
        <x:v>غير متاح في المصادر المراجعة</x:v>
      </x:c>
      <x:c r="Y39" s="14" t="e">
        <x:f>HYPERLINK("https://net0.com/contact","net0.com")</x:f>
        <x:v>HYPERLINK is not implemented. linkLocation=https://net0.com/contact, friendlyName=net0.com</x:v>
      </x:c>
      <x:c r="Z39" s="6" t="str">
        <x:v>غير متاح في المصادر المراجعة</x:v>
      </x:c>
      <x:c r="AA39" s="6" t="str">
        <x:v>غير متاح في المصادر المراجعة</x:v>
      </x:c>
    </x:row>
    <x:row r="40" ht="45" customHeight="1">
      <x:c r="A40" s="10" t="str">
        <x:v>S035</x:v>
      </x:c>
      <x:c r="B40" s="6" t="str">
        <x:v>Natrify</x:v>
      </x:c>
      <x:c r="C40" s="6" t="str">
        <x:v>الإمارات</x:v>
      </x:c>
      <x:c r="D40" s="6" t="str">
        <x:v>المواد الحيوية</x:v>
      </x:c>
      <x:c r="E40" s="6" t="str">
        <x:v>غير متاح في المصادر المراجعة</x:v>
      </x:c>
      <x:c r="F40" s="6" t="str">
        <x:v>غير متاح في المصادر المراجعة</x:v>
      </x:c>
      <x:c r="G40" s="6" t="str">
        <x:v>info@natrify.net</x:v>
      </x:c>
      <x:c r="H40" s="6" t="str">
        <x:v>غير متاح في المصادر المراجعة</x:v>
      </x:c>
      <x:c r="I40" s="6" t="str">
        <x:v>استفسارات عامة</x:v>
      </x:c>
      <x:c r="J40" s="14" t="e">
        <x:f>HYPERLINK("https://natrify.com","natrify.com")</x:f>
        <x:v>HYPERLINK is not implemented. linkLocation=https://natrify.com, friendlyName=natrify.com</x:v>
      </x:c>
      <x:c r="K40" s="6" t="str">
        <x:v>غير مؤكد من المصادر المراجعة</x:v>
      </x:c>
      <x:c r="L40" s="6" t="str">
        <x:v>غير متاح في المصادر المراجعة</x:v>
      </x:c>
      <x:c r="M40" s="12" t="str">
        <x:v>غير متاح في المصادر المراجعة</x:v>
      </x:c>
      <x:c r="N40" s="6" t="str">
        <x:v>غير متاح في المصادر المراجعة</x:v>
      </x:c>
      <x:c r="O40" s="6" t="str">
        <x:v>لا توجد جولة محددة موثقة ضمن هذه المراجعة</x:v>
      </x:c>
      <x:c r="P40" s="13" t="str">
        <x:v>لم يتم التواصل</x:v>
      </x:c>
      <x:c r="Q40" s="6" t="str">
        <x:v>تأكيد بيانات الشركة واحتياجها للتمويل / المشاركة</x:v>
      </x:c>
      <x:c r="R40" s="6" t="str">
        <x:v>مدرجة في Future 100؛ بعض الأدلة تضع المقر بمصر. الموقع والبريد من صفحة قديمة؛ يلزم تأكيد وجودها الإماراتي الحالي.</x:v>
      </x:c>
      <x:c r="S40" s="11" t="d">
        <x:v>2026-10-22T06:00:00.000Z</x:v>
      </x:c>
      <x:c r="T40" s="14" t="e">
        <x:f>HYPERLINK("https://natrify.github.io/web/","natrify.github.io")</x:f>
        <x:v>HYPERLINK is not implemented. linkLocation=https://natrify.github.io/web/, friendlyName=natrify.github.io</x:v>
      </x:c>
      <x:c r="U40" s="14" t="str">
        <x:v>غير متاح في المصادر المراجعة</x:v>
      </x:c>
      <x:c r="V40" s="14" t="str">
        <x:v>غير متاح في المصادر المراجعة</x:v>
      </x:c>
      <x:c r="W40" s="14" t="e">
        <x:f>HYPERLINK("https://natrify.github.io/web/","natrify.github.io")</x:f>
        <x:v>HYPERLINK is not implemented. linkLocation=https://natrify.github.io/web/, friendlyName=natrify.github.io</x:v>
      </x:c>
      <x:c r="X40" s="14" t="str">
        <x:v>غير متاح في المصادر المراجعة</x:v>
      </x:c>
      <x:c r="Y40" s="14" t="e">
        <x:f>HYPERLINK("https://natrify.github.io/web/","natrify.github.io")</x:f>
        <x:v>HYPERLINK is not implemented. linkLocation=https://natrify.github.io/web/, friendlyName=natrify.github.io</x:v>
      </x:c>
      <x:c r="Z40" s="6" t="str">
        <x:v>موقع الجهة أو قناة مرتبطة بها</x:v>
      </x:c>
      <x:c r="AA40" s="6" t="str">
        <x:v>غير متاح في المصادر المراجعة</x:v>
      </x:c>
    </x:row>
    <x:row r="41" ht="45" customHeight="1">
      <x:c r="A41" s="10" t="str">
        <x:v>S036</x:v>
      </x:c>
      <x:c r="B41" s="6" t="str">
        <x:v>Fenix Games</x:v>
      </x:c>
      <x:c r="C41" s="6" t="str">
        <x:v>دبي</x:v>
      </x:c>
      <x:c r="D41" s="6" t="str">
        <x:v>الألعاب</x:v>
      </x:c>
      <x:c r="E41" s="6" t="str">
        <x:v>غير متاح في المصادر المراجعة</x:v>
      </x:c>
      <x:c r="F41" s="6" t="str">
        <x:v>غير متاح في المصادر المراجعة</x:v>
      </x:c>
      <x:c r="G41" s="6" t="str">
        <x:v>info@fenixgames.com</x:v>
      </x:c>
      <x:c r="H41" s="6" t="str">
        <x:v>غير متاح في المصادر المراجعة</x:v>
      </x:c>
      <x:c r="I41" s="6" t="str">
        <x:v>استفسارات عامة</x:v>
      </x:c>
      <x:c r="J41" s="14" t="e">
        <x:f>HYPERLINK("https://fenixgames.com","fenixgames.com")</x:f>
        <x:v>HYPERLINK is not implemented. linkLocation=https://fenixgames.com, friendlyName=fenixgames.com</x:v>
      </x:c>
      <x:c r="K41" s="6" t="str">
        <x:v>غير مؤكد من المصادر المراجعة</x:v>
      </x:c>
      <x:c r="L41" s="6" t="str">
        <x:v>تمويل تأسيسي</x:v>
      </x:c>
      <x:c r="M41" s="12" t="n">
        <x:v>150000000</x:v>
      </x:c>
      <x:c r="N41" s="6" t="str">
        <x:v>غير متاح في المصادر المراجعة</x:v>
      </x:c>
      <x:c r="O41" s="6" t="str">
        <x:v>تمويل تاريخي وفق ملف الشركة</x:v>
      </x:c>
      <x:c r="P41" s="13" t="str">
        <x:v>لم يتم التواصل</x:v>
      </x:c>
      <x:c r="Q41" s="6" t="str">
        <x:v>تأكيد بيانات الشركة واحتياجها للتمويل / المشاركة</x:v>
      </x:c>
      <x:c r="R41" s="6" t="str"/>
      <x:c r="S41" s="11" t="d">
        <x:v>2026-10-22T06:00:00.000Z</x:v>
      </x:c>
      <x:c r="T41" s="14" t="e">
        <x:f>HYPERLINK("https://fenixgames.com/","fenixgames.com")</x:f>
        <x:v>HYPERLINK is not implemented. linkLocation=https://fenixgames.com/, friendlyName=fenixgames.com</x:v>
      </x:c>
      <x:c r="U41" s="14" t="str">
        <x:v>غير متاح في المصادر المراجعة</x:v>
      </x:c>
      <x:c r="V41" s="14" t="e">
        <x:f>HYPERLINK("https://yourstory.com/companies/fenix-games","yourstory.com")</x:f>
        <x:v>HYPERLINK is not implemented. linkLocation=https://yourstory.com/companies/fenix-games, friendlyName=yourstory.com</x:v>
      </x:c>
      <x:c r="W41" s="14" t="e">
        <x:f>HYPERLINK("https://fenixgames.com/","fenixgames.com")</x:f>
        <x:v>HYPERLINK is not implemented. linkLocation=https://fenixgames.com/, friendlyName=fenixgames.com</x:v>
      </x:c>
      <x:c r="X41" s="14" t="str">
        <x:v>غير متاح في المصادر المراجعة</x:v>
      </x:c>
      <x:c r="Y41" s="14" t="e">
        <x:f>HYPERLINK("https://fenixgames.com/","fenixgames.com")</x:f>
        <x:v>HYPERLINK is not implemented. linkLocation=https://fenixgames.com/, friendlyName=fenixgames.com</x:v>
      </x:c>
      <x:c r="Z41" s="6" t="str">
        <x:v>موقع الجهة أو قناة مرتبطة بها</x:v>
      </x:c>
      <x:c r="AA41" s="6" t="str">
        <x:v>غير متاح في المصادر المراجعة</x:v>
      </x:c>
    </x:row>
    <x:row r="42" ht="45" customHeight="1">
      <x:c r="A42" s="10" t="str">
        <x:v>S037</x:v>
      </x:c>
      <x:c r="B42" s="6" t="str">
        <x:v>Huspy</x:v>
      </x:c>
      <x:c r="C42" s="6" t="str">
        <x:v>دبي</x:v>
      </x:c>
      <x:c r="D42" s="6" t="str">
        <x:v>التقنية العقارية</x:v>
      </x:c>
      <x:c r="E42" s="6" t="str">
        <x:v>غير متاح في المصادر المراجعة</x:v>
      </x:c>
      <x:c r="F42" s="6" t="str">
        <x:v>Jad Antoun</x:v>
      </x:c>
      <x:c r="G42" s="6" t="str">
        <x:v>contact@huspy.io</x:v>
      </x:c>
      <x:c r="H42" s="6" t="str">
        <x:v>+971 4 276 6482</x:v>
      </x:c>
      <x:c r="I42" s="6" t="str">
        <x:v>استفسارات عامة</x:v>
      </x:c>
      <x:c r="J42" s="14" t="e">
        <x:f>HYPERLINK("https://huspy.com","huspy.com")</x:f>
        <x:v>HYPERLINK is not implemented. linkLocation=https://huspy.com, friendlyName=huspy.com</x:v>
      </x:c>
      <x:c r="K42" s="6" t="str">
        <x:v>غير مؤكد من المصادر المراجعة</x:v>
      </x:c>
      <x:c r="L42" s="6" t="str">
        <x:v>Series A</x:v>
      </x:c>
      <x:c r="M42" s="12" t="n">
        <x:v>37000000</x:v>
      </x:c>
      <x:c r="N42" s="6" t="str">
        <x:v>2022-06-21</x:v>
      </x:c>
      <x:c r="O42" s="6" t="str">
        <x:v>جولة تاريخية من إعلان الشركة</x:v>
      </x:c>
      <x:c r="P42" s="13" t="str">
        <x:v>لم يتم التواصل</x:v>
      </x:c>
      <x:c r="Q42" s="6" t="str">
        <x:v>تأكيد بيانات الشركة واحتياجها للتمويل / المشاركة</x:v>
      </x:c>
      <x:c r="R42" s="6" t="str"/>
      <x:c r="S42" s="11" t="d">
        <x:v>2026-10-22T06:00:00.000Z</x:v>
      </x:c>
      <x:c r="T42" s="14" t="e">
        <x:f>HYPERLINK("https://huspy.com/ae/about","huspy.com")</x:f>
        <x:v>HYPERLINK is not implemented. linkLocation=https://huspy.com/ae/about, friendlyName=huspy.com</x:v>
      </x:c>
      <x:c r="U42" s="14" t="str">
        <x:v>https://huspy.com/ae/about
https://www.crunchbase.com/organization/huspy
https://huspy.com/blog/huspy-series-a</x:v>
      </x:c>
      <x:c r="V42" s="14" t="e">
        <x:f>HYPERLINK("https://huspy.com/blog/huspy-series-a","huspy.com")</x:f>
        <x:v>HYPERLINK is not implemented. linkLocation=https://huspy.com/blog/huspy-series-a, friendlyName=huspy.com</x:v>
      </x:c>
      <x:c r="W42" s="14" t="e">
        <x:f>HYPERLINK("https://huspy.com/ae/about","huspy.com")</x:f>
        <x:v>HYPERLINK is not implemented. linkLocation=https://huspy.com/ae/about, friendlyName=huspy.com</x:v>
      </x:c>
      <x:c r="X42" s="14" t="e">
        <x:f>HYPERLINK("https://www.huspy.es/ae/content/terms-and-conditions","huspy.es")</x:f>
        <x:v>HYPERLINK is not implemented. linkLocation=https://www.huspy.es/ae/content/terms-and-conditions, friendlyName=huspy.es</x:v>
      </x:c>
      <x:c r="Y42" s="14" t="e">
        <x:f>HYPERLINK("https://huspy.com/ae/about","huspy.com")</x:f>
        <x:v>HYPERLINK is not implemented. linkLocation=https://huspy.com/ae/about, friendlyName=huspy.com</x:v>
      </x:c>
      <x:c r="Z42" s="6" t="str">
        <x:v>موقع الجهة أو قناة مرتبطة بها</x:v>
      </x:c>
      <x:c r="AA42" s="6" t="str">
        <x:v>مصدر ثانوي؛ يلزم تأكيد مباشر</x:v>
      </x:c>
    </x:row>
    <x:row r="43" ht="45" customHeight="1">
      <x:c r="A43" s="10" t="str">
        <x:v>S038</x:v>
      </x:c>
      <x:c r="B43" s="6" t="str">
        <x:v>Flow48</x:v>
      </x:c>
      <x:c r="C43" s="6" t="str">
        <x:v>دبي</x:v>
      </x:c>
      <x:c r="D43" s="6" t="str">
        <x:v>تمويل الشركات</x:v>
      </x:c>
      <x:c r="E43" s="6" t="n">
        <x:v>2022</x:v>
      </x:c>
      <x:c r="F43" s="6" t="str">
        <x:v>Idriss Al Rifai</x:v>
      </x:c>
      <x:c r="G43" s="6" t="str">
        <x:v>hello@flow48.com</x:v>
      </x:c>
      <x:c r="H43" s="6" t="str">
        <x:v>غير متاح في المصادر المراجعة</x:v>
      </x:c>
      <x:c r="I43" s="6" t="str">
        <x:v>استفسارات عامة</x:v>
      </x:c>
      <x:c r="J43" s="14" t="e">
        <x:f>HYPERLINK("https://flow48.com","flow48.com")</x:f>
        <x:v>HYPERLINK is not implemented. linkLocation=https://flow48.com, friendlyName=flow48.com</x:v>
      </x:c>
      <x:c r="K43" s="6" t="str">
        <x:v>غير مؤكد من المصادر المراجعة</x:v>
      </x:c>
      <x:c r="L43" s="6" t="str">
        <x:v>Series A</x:v>
      </x:c>
      <x:c r="M43" s="12" t="n">
        <x:v>55200000</x:v>
      </x:c>
      <x:c r="N43" s="6" t="str">
        <x:v>2025-02</x:v>
      </x:c>
      <x:c r="O43" s="6" t="str">
        <x:v>قيمة واردة في دليل ثانوي؛ تحتاج تأكيدًا</x:v>
      </x:c>
      <x:c r="P43" s="13" t="str">
        <x:v>لم يتم التواصل</x:v>
      </x:c>
      <x:c r="Q43" s="6" t="str">
        <x:v>تأكيد بيانات الشركة واحتياجها للتمويل / المشاركة</x:v>
      </x:c>
      <x:c r="R43" s="6" t="str">
        <x:v>الموقع الحالي يبرز جنوب أفريقيا؛ يلزم تأكيد فريق العمليات الإماراتي.</x:v>
      </x:c>
      <x:c r="S43" s="11" t="d">
        <x:v>2026-10-22T06:00:00.000Z</x:v>
      </x:c>
      <x:c r="T43" s="14" t="e">
        <x:f>HYPERLINK("https://www.decypha.com/en/company-list/FLOW-48-FORFAITING-SERVICES-L-L-C-249321","decypha.com")</x:f>
        <x:v>HYPERLINK is not implemented. linkLocation=https://www.decypha.com/en/company-list/FLOW-48-FORFAITING-SERVICES-L-L-C-249321, friendlyName=decypha.com</x:v>
      </x:c>
      <x:c r="U43" s="14" t="str">
        <x:v>https://prospeo.io/c/flow48
https://ent.news/2025/2/2416.pdf
https://www.crunchbase.com/organization/flow48</x:v>
      </x:c>
      <x:c r="V43" s="14" t="e">
        <x:f>HYPERLINK("https://uaestartupmap.com/company/flow48","uaestartupmap.com")</x:f>
        <x:v>HYPERLINK is not implemented. linkLocation=https://uaestartupmap.com/company/flow48, friendlyName=uaestartupmap.com</x:v>
      </x:c>
      <x:c r="W43" s="14" t="e">
        <x:f>HYPERLINK("https://www.flow48.com/contact","flow48.com")</x:f>
        <x:v>HYPERLINK is not implemented. linkLocation=https://www.flow48.com/contact, friendlyName=flow48.com</x:v>
      </x:c>
      <x:c r="X43" s="14" t="str">
        <x:v>غير متاح في المصادر المراجعة</x:v>
      </x:c>
      <x:c r="Y43" s="14" t="e">
        <x:f>HYPERLINK("https://www.flow48.com/contact","flow48.com")</x:f>
        <x:v>HYPERLINK is not implemented. linkLocation=https://www.flow48.com/contact, friendlyName=flow48.com</x:v>
      </x:c>
      <x:c r="Z43" s="6" t="str">
        <x:v>موقع الجهة أو قناة مرتبطة بها</x:v>
      </x:c>
      <x:c r="AA43" s="6" t="str">
        <x:v>غير متاح في المصادر المراجعة</x:v>
      </x:c>
    </x:row>
    <x:row r="44" ht="45" customHeight="1">
      <x:c r="A44" s="10" t="str">
        <x:v>S039</x:v>
      </x:c>
      <x:c r="B44" s="6" t="str">
        <x:v>Comfi</x:v>
      </x:c>
      <x:c r="C44" s="6" t="str">
        <x:v>دبي</x:v>
      </x:c>
      <x:c r="D44" s="6" t="str">
        <x:v>تمويل الأعمال</x:v>
      </x:c>
      <x:c r="E44" s="6" t="n">
        <x:v>2023</x:v>
      </x:c>
      <x:c r="F44" s="6" t="str">
        <x:v>Sanjar Samiev; Alisher Akbarov; Amal Abdullaev; Denis Gavrilin</x:v>
      </x:c>
      <x:c r="G44" s="6" t="str">
        <x:v>support@comfi.ai</x:v>
      </x:c>
      <x:c r="H44" s="6" t="str">
        <x:v>+971 54 247 0392</x:v>
      </x:c>
      <x:c r="I44" s="6" t="str">
        <x:v>دعم / خدمة عملاء؛ اطلب التحويل</x:v>
      </x:c>
      <x:c r="J44" s="14" t="e">
        <x:f>HYPERLINK("https://comfi.ai","comfi.ai")</x:f>
        <x:v>HYPERLINK is not implemented. linkLocation=https://comfi.ai, friendlyName=comfi.ai</x:v>
      </x:c>
      <x:c r="K44" s="6" t="str">
        <x:v>غير مؤكد من المصادر المراجعة</x:v>
      </x:c>
      <x:c r="L44" s="6" t="str">
        <x:v>Pre-Series A</x:v>
      </x:c>
      <x:c r="M44" s="12" t="n">
        <x:v>65000000</x:v>
      </x:c>
      <x:c r="N44" s="6" t="str">
        <x:v>2026</x:v>
      </x:c>
      <x:c r="O44" s="6" t="str">
        <x:v>يشمل حقوق ملكية ودين</x:v>
      </x:c>
      <x:c r="P44" s="13" t="str">
        <x:v>لم يتم التواصل</x:v>
      </x:c>
      <x:c r="Q44" s="6" t="str">
        <x:v>تأكيد بيانات الشركة واحتياجها للتمويل / المشاركة</x:v>
      </x:c>
      <x:c r="R44" s="6" t="str"/>
      <x:c r="S44" s="11" t="d">
        <x:v>2026-10-22T06:00:00.000Z</x:v>
      </x:c>
      <x:c r="T44" s="14" t="e">
        <x:f>HYPERLINK("https://prospeo.io/c/comfi-ai","prospeo.io")</x:f>
        <x:v>HYPERLINK is not implemented. linkLocation=https://prospeo.io/c/comfi-ai, friendlyName=prospeo.io</x:v>
      </x:c>
      <x:c r="U44" s="14" t="str">
        <x:v>https://prospeo.io/c/comfi-ai
https://comfi.ai/blog/comfi-raises-us-65mln-pre-series-a-round
https://www.wamda.com/2024/06/comfi-secures-5-million-debt-facility-expedite-bnpl-plans</x:v>
      </x:c>
      <x:c r="V44" s="14" t="e">
        <x:f>HYPERLINK("https://comfi.ai/blog/comfi-raises-us-65mln-pre-series-a-round","comfi.ai")</x:f>
        <x:v>HYPERLINK is not implemented. linkLocation=https://comfi.ai/blog/comfi-raises-us-65mln-pre-series-a-round, friendlyName=comfi.ai</x:v>
      </x:c>
      <x:c r="W44" s="14" t="e">
        <x:f>HYPERLINK("https://comfi.ai/contact-us","comfi.ai")</x:f>
        <x:v>HYPERLINK is not implemented. linkLocation=https://comfi.ai/contact-us, friendlyName=comfi.ai</x:v>
      </x:c>
      <x:c r="X44" s="14" t="e">
        <x:f>HYPERLINK("https://comfi.ai/contact-us","comfi.ai")</x:f>
        <x:v>HYPERLINK is not implemented. linkLocation=https://comfi.ai/contact-us, friendlyName=comfi.ai</x:v>
      </x:c>
      <x:c r="Y44" s="14" t="e">
        <x:f>HYPERLINK("https://comfi.ai/contact-us","comfi.ai")</x:f>
        <x:v>HYPERLINK is not implemented. linkLocation=https://comfi.ai/contact-us, friendlyName=comfi.ai</x:v>
      </x:c>
      <x:c r="Z44" s="6" t="str">
        <x:v>موقع الجهة أو قناة مرتبطة بها</x:v>
      </x:c>
      <x:c r="AA44" s="6" t="str">
        <x:v>موقع الجهة أو قناة مرتبطة بها</x:v>
      </x:c>
    </x:row>
    <x:row r="45" ht="45" customHeight="1">
      <x:c r="A45" s="10" t="str">
        <x:v>S040</x:v>
      </x:c>
      <x:c r="B45" s="6" t="str">
        <x:v>FlapKap</x:v>
      </x:c>
      <x:c r="C45" s="6" t="str">
        <x:v>أبوظبي</x:v>
      </x:c>
      <x:c r="D45" s="6" t="str">
        <x:v>تمويل الشركات</x:v>
      </x:c>
      <x:c r="E45" s="6" t="n">
        <x:v>2022</x:v>
      </x:c>
      <x:c r="F45" s="6" t="str">
        <x:v>Ahmad Coucha; Khaled Nassef; Sherif Bichara; Kunal Harisinghani</x:v>
      </x:c>
      <x:c r="G45" s="6" t="str">
        <x:v>info@flapkap.com</x:v>
      </x:c>
      <x:c r="H45" s="6" t="str">
        <x:v>+971 4 561 6890</x:v>
      </x:c>
      <x:c r="I45" s="6" t="str">
        <x:v>استفسارات عامة</x:v>
      </x:c>
      <x:c r="J45" s="14" t="e">
        <x:f>HYPERLINK("https://flapkap.com","flapkap.com")</x:f>
        <x:v>HYPERLINK is not implemented. linkLocation=https://flapkap.com, friendlyName=flapkap.com</x:v>
      </x:c>
      <x:c r="K45" s="6" t="str">
        <x:v>غير مؤكد من المصادر المراجعة</x:v>
      </x:c>
      <x:c r="L45" s="6" t="str">
        <x:v>Seed</x:v>
      </x:c>
      <x:c r="M45" s="12" t="str">
        <x:v>غير متاح في المصادر المراجعة</x:v>
      </x:c>
      <x:c r="N45" s="6" t="str">
        <x:v>2024</x:v>
      </x:c>
      <x:c r="O45" s="6" t="str">
        <x:v>مرحلة استثمار BECO في سجل المحفظة</x:v>
      </x:c>
      <x:c r="P45" s="13" t="str">
        <x:v>لم يتم التواصل</x:v>
      </x:c>
      <x:c r="Q45" s="6" t="str">
        <x:v>تأكيد بيانات الشركة واحتياجها للتمويل / المشاركة</x:v>
      </x:c>
      <x:c r="R45" s="6" t="str"/>
      <x:c r="S45" s="11" t="d">
        <x:v>2026-10-22T06:00:00.000Z</x:v>
      </x:c>
      <x:c r="T45" s="14" t="e">
        <x:f>HYPERLINK("https://www.flapkap.com/about-us","flapkap.com")</x:f>
        <x:v>HYPERLINK is not implemented. linkLocation=https://www.flapkap.com/about-us, friendlyName=flapkap.com</x:v>
      </x:c>
      <x:c r="U45" s="14" t="str">
        <x:v>https://www.flapkap.com/about-us
https://www.becocapital.com/portfolio/flapkap/
https://techcrunch.com/2022/10/12/flapkap-provides-revenue-based-financing-to-e-commerce-brands-in-mena-gets-3-6m-seed-funding/</x:v>
      </x:c>
      <x:c r="V45" s="14" t="e">
        <x:f>HYPERLINK("https://www.becocapital.com/portfolio/flapkap/","becocapital.com")</x:f>
        <x:v>HYPERLINK is not implemented. linkLocation=https://www.becocapital.com/portfolio/flapkap/, friendlyName=becocapital.com</x:v>
      </x:c>
      <x:c r="W45" s="14" t="e">
        <x:f>HYPERLINK("https://fk-static.flapkap.com/","fk-static.flapkap.com")</x:f>
        <x:v>HYPERLINK is not implemented. linkLocation=https://fk-static.flapkap.com/, friendlyName=fk-static.flapkap.com</x:v>
      </x:c>
      <x:c r="X45" s="14" t="e">
        <x:f>HYPERLINK("https://www.decypha.com/en/company-list/FlapKap-249695","decypha.com")</x:f>
        <x:v>HYPERLINK is not implemented. linkLocation=https://www.decypha.com/en/company-list/FlapKap-249695, friendlyName=decypha.com</x:v>
      </x:c>
      <x:c r="Y45" s="14" t="e">
        <x:f>HYPERLINK("https://fk-static.flapkap.com/","fk-static.flapkap.com")</x:f>
        <x:v>HYPERLINK is not implemented. linkLocation=https://fk-static.flapkap.com/, friendlyName=fk-static.flapkap.com</x:v>
      </x:c>
      <x:c r="Z45" s="6" t="str">
        <x:v>موقع الجهة أو قناة مرتبطة بها</x:v>
      </x:c>
      <x:c r="AA45" s="6" t="str">
        <x:v>مصدر ثانوي؛ يلزم تأكيد مباشر</x:v>
      </x:c>
    </x:row>
    <x:row r="46" ht="45" customHeight="1">
      <x:c r="A46" s="10" t="str">
        <x:v>S041</x:v>
      </x:c>
      <x:c r="B46" s="6" t="str">
        <x:v>CredibleX</x:v>
      </x:c>
      <x:c r="C46" s="6" t="str">
        <x:v>أبوظبي</x:v>
      </x:c>
      <x:c r="D46" s="6" t="str">
        <x:v>تمويل الشركات</x:v>
      </x:c>
      <x:c r="E46" s="6" t="n">
        <x:v>2023</x:v>
      </x:c>
      <x:c r="F46" s="6" t="str">
        <x:v>Ahmad Malik; Anand Nagaraj; Hassan Reda</x:v>
      </x:c>
      <x:c r="G46" s="6" t="str">
        <x:v>hello@crediblex.io</x:v>
      </x:c>
      <x:c r="H46" s="6" t="str">
        <x:v>غير متاح في المصادر المراجعة</x:v>
      </x:c>
      <x:c r="I46" s="6" t="str">
        <x:v>استفسارات عامة</x:v>
      </x:c>
      <x:c r="J46" s="14" t="e">
        <x:f>HYPERLINK("https://crediblex.io","crediblex.io")</x:f>
        <x:v>HYPERLINK is not implemented. linkLocation=https://crediblex.io, friendlyName=crediblex.io</x:v>
      </x:c>
      <x:c r="K46" s="6" t="str">
        <x:v>غير مؤكد من المصادر المراجعة</x:v>
      </x:c>
      <x:c r="L46" s="6" t="str">
        <x:v>Seed</x:v>
      </x:c>
      <x:c r="M46" s="12" t="n">
        <x:v>55000000</x:v>
      </x:c>
      <x:c r="N46" s="6" t="str">
        <x:v>2024-12-18</x:v>
      </x:c>
      <x:c r="O46" s="6" t="str">
        <x:v>يشمل حقوق ملكية ودين</x:v>
      </x:c>
      <x:c r="P46" s="13" t="str">
        <x:v>لم يتم التواصل</x:v>
      </x:c>
      <x:c r="Q46" s="6" t="str">
        <x:v>تأكيد بيانات الشركة واحتياجها للتمويل / المشاركة</x:v>
      </x:c>
      <x:c r="R46" s="6" t="str"/>
      <x:c r="S46" s="11" t="d">
        <x:v>2026-10-22T06:00:00.000Z</x:v>
      </x:c>
      <x:c r="T46" s="14" t="e">
        <x:f>HYPERLINK("https://crediblex.io/articles-published/crediblex-secures-55m-in-seed-funding-to-empower-smes/","crediblex.io")</x:f>
        <x:v>HYPERLINK is not implemented. linkLocation=https://crediblex.io/articles-published/crediblex-secures-55m-in-seed-funding-to-empower-smes/, friendlyName=crediblex.io</x:v>
      </x:c>
      <x:c r="U46" s="14" t="str">
        <x:v>https://mma.prnewswire.com/media/2578918/CredibleX_PressRelease.pdf?p=pdf
https://www.prweb.com/releases/uae-based-embedded-sme-lending-startup-crediblex-raises-us55mn-in-seed-round-302330056.html
https://crediblex.io/crediblex-blog/crediblex-unleashes-next-generation-lending-solutions-and-targets-20000-companies/</x:v>
      </x:c>
      <x:c r="V46" s="14" t="e">
        <x:f>HYPERLINK("https://crediblex.io/articles-published/crediblex-secures-55m-in-seed-funding-to-empower-smes/","crediblex.io")</x:f>
        <x:v>HYPERLINK is not implemented. linkLocation=https://crediblex.io/articles-published/crediblex-secures-55m-in-seed-funding-to-empower-smes/, friendlyName=crediblex.io</x:v>
      </x:c>
      <x:c r="W46" s="14" t="e">
        <x:f>HYPERLINK("https://cdn.crediblex.io/docs/privacy-policy.pdf","cdn.crediblex.io")</x:f>
        <x:v>HYPERLINK is not implemented. linkLocation=https://cdn.crediblex.io/docs/privacy-policy.pdf, friendlyName=cdn.crediblex.io</x:v>
      </x:c>
      <x:c r="X46" s="14" t="str">
        <x:v>غير متاح في المصادر المراجعة</x:v>
      </x:c>
      <x:c r="Y46" s="14" t="e">
        <x:f>HYPERLINK("https://crediblex.io/company/contact-us/","crediblex.io")</x:f>
        <x:v>HYPERLINK is not implemented. linkLocation=https://crediblex.io/company/contact-us/, friendlyName=crediblex.io</x:v>
      </x:c>
      <x:c r="Z46" s="6" t="str">
        <x:v>موقع الجهة أو قناة مرتبطة بها</x:v>
      </x:c>
      <x:c r="AA46" s="6" t="str">
        <x:v>غير متاح في المصادر المراجعة</x:v>
      </x:c>
    </x:row>
    <x:row r="47" ht="45" customHeight="1">
      <x:c r="A47" s="10" t="str">
        <x:v>S042</x:v>
      </x:c>
      <x:c r="B47" s="6" t="str">
        <x:v>VUZ</x:v>
      </x:c>
      <x:c r="C47" s="6" t="str">
        <x:v>دبي</x:v>
      </x:c>
      <x:c r="D47" s="6" t="str">
        <x:v>الواقع الممتد</x:v>
      </x:c>
      <x:c r="E47" s="6" t="str">
        <x:v>غير متاح في المصادر المراجعة</x:v>
      </x:c>
      <x:c r="F47" s="6" t="str">
        <x:v>Khaled Zaatarah</x:v>
      </x:c>
      <x:c r="G47" s="6" t="str">
        <x:v>info@vuz.com</x:v>
      </x:c>
      <x:c r="H47" s="6" t="str">
        <x:v>غير متاح في المصادر المراجعة</x:v>
      </x:c>
      <x:c r="I47" s="6" t="str">
        <x:v>استفسارات عامة</x:v>
      </x:c>
      <x:c r="J47" s="14" t="e">
        <x:f>HYPERLINK("https://vuz.com","vuz.com")</x:f>
        <x:v>HYPERLINK is not implemented. linkLocation=https://vuz.com, friendlyName=vuz.com</x:v>
      </x:c>
      <x:c r="K47" s="6" t="str">
        <x:v>غير مؤكد من المصادر المراجعة</x:v>
      </x:c>
      <x:c r="L47" s="6" t="str">
        <x:v>Series B</x:v>
      </x:c>
      <x:c r="M47" s="12" t="n">
        <x:v>20000000</x:v>
      </x:c>
      <x:c r="N47" s="6" t="str">
        <x:v>2022-10-13</x:v>
      </x:c>
      <x:c r="O47" s="6" t="str">
        <x:v>جولة تاريخية</x:v>
      </x:c>
      <x:c r="P47" s="13" t="str">
        <x:v>لم يتم التواصل</x:v>
      </x:c>
      <x:c r="Q47" s="6" t="str">
        <x:v>تأكيد بيانات الشركة واحتياجها للتمويل / المشاركة</x:v>
      </x:c>
      <x:c r="R47" s="6" t="str">
        <x:v>الموقع الحالي يصف المقر بالرياض؛ لها تاريخ ونشاط إماراتي. يلزم تأكيد المكتب المحلي الحالي.</x:v>
      </x:c>
      <x:c r="S47" s="11" t="d">
        <x:v>2026-10-22T06:00:00.000Z</x:v>
      </x:c>
      <x:c r="T47" s="14" t="e">
        <x:f>HYPERLINK("https://www.vuz.com/","vuz.com")</x:f>
        <x:v>HYPERLINK is not implemented. linkLocation=https://www.vuz.com/, friendlyName=vuz.com</x:v>
      </x:c>
      <x:c r="U47" s="14" t="str">
        <x:v>https://techcrunch.com/2022/10/13/vuz-raises-20-million-to-scale-its-immersive-social-app/
https://www.arabnews.com/business/uaes-social-app-vuz-raises-20m-series-b-to-fund-expansion-2180991
https://www.prnewswire.com/ae/news-releases/vuz-the-leading-immersive-social-app-raises-20m-in-series-b-round-301649823.html</x:v>
      </x:c>
      <x:c r="V47" s="14" t="e">
        <x:f>HYPERLINK("https://techcrunch.com/2022/10/13/vuz-raises-20-million-to-scale-its-immersive-social-app/","techcrunch.com")</x:f>
        <x:v>HYPERLINK is not implemented. linkLocation=https://techcrunch.com/2022/10/13/vuz-raises-20-million-to-scale-its-immersive-social-app/, friendlyName=techcrunch.com</x:v>
      </x:c>
      <x:c r="W47" s="14" t="e">
        <x:f>HYPERLINK("https://www.vuz.com/terms-conditions","vuz.com")</x:f>
        <x:v>HYPERLINK is not implemented. linkLocation=https://www.vuz.com/terms-conditions, friendlyName=vuz.com</x:v>
      </x:c>
      <x:c r="X47" s="14" t="str">
        <x:v>غير متاح في المصادر المراجعة</x:v>
      </x:c>
      <x:c r="Y47" s="14" t="e">
        <x:f>HYPERLINK("https://www.vuz.com/","vuz.com")</x:f>
        <x:v>HYPERLINK is not implemented. linkLocation=https://www.vuz.com/, friendlyName=vuz.com</x:v>
      </x:c>
      <x:c r="Z47" s="6" t="str">
        <x:v>موقع الجهة أو قناة مرتبطة بها</x:v>
      </x:c>
      <x:c r="AA47" s="6" t="str">
        <x:v>غير متاح في المصادر المراجعة</x:v>
      </x:c>
    </x:row>
    <x:row r="48" ht="45" customHeight="1">
      <x:c r="A48" s="10" t="str">
        <x:v>S043</x:v>
      </x:c>
      <x:c r="B48" s="6" t="str">
        <x:v>NymCard</x:v>
      </x:c>
      <x:c r="C48" s="6" t="str">
        <x:v>دبي</x:v>
      </x:c>
      <x:c r="D48" s="6" t="str">
        <x:v>المدفوعات المدمجة</x:v>
      </x:c>
      <x:c r="E48" s="6" t="n">
        <x:v>2018</x:v>
      </x:c>
      <x:c r="F48" s="6" t="str">
        <x:v>Omar Onsi</x:v>
      </x:c>
      <x:c r="G48" s="6" t="str">
        <x:v>contact@nymcard.com</x:v>
      </x:c>
      <x:c r="H48" s="6" t="str">
        <x:v>+971 600 505005</x:v>
      </x:c>
      <x:c r="I48" s="6" t="str">
        <x:v>استفسارات عامة</x:v>
      </x:c>
      <x:c r="J48" s="14" t="e">
        <x:f>HYPERLINK("https://nymcard.com","nymcard.com")</x:f>
        <x:v>HYPERLINK is not implemented. linkLocation=https://nymcard.com, friendlyName=nymcard.com</x:v>
      </x:c>
      <x:c r="K48" s="6" t="str">
        <x:v>غير مؤكد من المصادر المراجعة</x:v>
      </x:c>
      <x:c r="L48" s="6" t="str">
        <x:v>غير متاح في المصادر المراجعة</x:v>
      </x:c>
      <x:c r="M48" s="12" t="str">
        <x:v>غير متاح في المصادر المراجعة</x:v>
      </x:c>
      <x:c r="N48" s="6" t="str">
        <x:v>غير متاح في المصادر المراجعة</x:v>
      </x:c>
      <x:c r="O48" s="6" t="str">
        <x:v>لا توجد جولة محددة موثقة ضمن هذه المراجعة</x:v>
      </x:c>
      <x:c r="P48" s="13" t="str">
        <x:v>لم يتم التواصل</x:v>
      </x:c>
      <x:c r="Q48" s="6" t="str">
        <x:v>تأكيد بيانات الشركة واحتياجها للتمويل / المشاركة</x:v>
      </x:c>
      <x:c r="R48" s="6" t="str"/>
      <x:c r="S48" s="11" t="d">
        <x:v>2026-10-22T06:00:00.000Z</x:v>
      </x:c>
      <x:c r="T48" s="14" t="e">
        <x:f>HYPERLINK("https://www.nymcard.com/ae/company/about","nymcard.com")</x:f>
        <x:v>HYPERLINK is not implemented. linkLocation=https://www.nymcard.com/ae/company/about, friendlyName=nymcard.com</x:v>
      </x:c>
      <x:c r="U48" s="14" t="str">
        <x:v>https://www.nymcard.com/ae/company/about
https://www.forbesmiddleeast.com/lists/the-middle-easts-fintech-50-2026/nymcard/
https://www.thenationalnews.com/business/generation-start-up-nymcard-is-making-payments-accessible-to-the-middle-east-s-unbanked-1.1123299</x:v>
      </x:c>
      <x:c r="V48" s="14" t="str">
        <x:v>غير متاح في المصادر المراجعة</x:v>
      </x:c>
      <x:c r="W48" s="14" t="e">
        <x:f>HYPERLINK("https://www.nymcard.com/company/contact","nymcard.com")</x:f>
        <x:v>HYPERLINK is not implemented. linkLocation=https://www.nymcard.com/company/contact, friendlyName=nymcard.com</x:v>
      </x:c>
      <x:c r="X48" s="14" t="e">
        <x:f>HYPERLINK("https://www.nymcard.com/ae/help-and-support","nymcard.com")</x:f>
        <x:v>HYPERLINK is not implemented. linkLocation=https://www.nymcard.com/ae/help-and-support, friendlyName=nymcard.com</x:v>
      </x:c>
      <x:c r="Y48" s="14" t="e">
        <x:f>HYPERLINK("https://www.nymcard.com/ae/help-and-support","nymcard.com")</x:f>
        <x:v>HYPERLINK is not implemented. linkLocation=https://www.nymcard.com/ae/help-and-support, friendlyName=nymcard.com</x:v>
      </x:c>
      <x:c r="Z48" s="6" t="str">
        <x:v>موقع الجهة أو قناة مرتبطة بها</x:v>
      </x:c>
      <x:c r="AA48" s="6" t="str">
        <x:v>موقع الجهة أو قناة مرتبطة بها</x:v>
      </x:c>
    </x:row>
    <x:row r="49" ht="45" customHeight="1">
      <x:c r="A49" s="10" t="str">
        <x:v>S044</x:v>
      </x:c>
      <x:c r="B49" s="6" t="str">
        <x:v>Lean Technologies</x:v>
      </x:c>
      <x:c r="C49" s="6" t="str">
        <x:v>دبي</x:v>
      </x:c>
      <x:c r="D49" s="6" t="str">
        <x:v>التمويل المفتوح</x:v>
      </x:c>
      <x:c r="E49" s="6" t="n">
        <x:v>2019</x:v>
      </x:c>
      <x:c r="F49" s="6" t="str">
        <x:v>غير متاح في المصادر المراجعة</x:v>
      </x:c>
      <x:c r="G49" s="6" t="str">
        <x:v>غير متاح في المصادر المراجعة</x:v>
      </x:c>
      <x:c r="H49" s="6" t="str">
        <x:v>غير متاح في المصادر المراجعة</x:v>
      </x:c>
      <x:c r="I49" s="6" t="str">
        <x:v>نموذج / موقع الجهة</x:v>
      </x:c>
      <x:c r="J49" s="14" t="e">
        <x:f>HYPERLINK("https://leantech.me","leantech.me")</x:f>
        <x:v>HYPERLINK is not implemented. linkLocation=https://leantech.me, friendlyName=leantech.me</x:v>
      </x:c>
      <x:c r="K49" s="6" t="str">
        <x:v>غير مؤكد من المصادر المراجعة</x:v>
      </x:c>
      <x:c r="L49" s="6" t="str">
        <x:v>غير متاح في المصادر المراجعة</x:v>
      </x:c>
      <x:c r="M49" s="12" t="str">
        <x:v>غير متاح في المصادر المراجعة</x:v>
      </x:c>
      <x:c r="N49" s="6" t="str">
        <x:v>غير متاح في المصادر المراجعة</x:v>
      </x:c>
      <x:c r="O49" s="6" t="str">
        <x:v>لا توجد جولة محددة موثقة ضمن هذه المراجعة</x:v>
      </x:c>
      <x:c r="P49" s="13" t="str">
        <x:v>لم يتم التواصل</x:v>
      </x:c>
      <x:c r="Q49" s="6" t="str">
        <x:v>تأكيد بيانات الشركة واحتياجها للتمويل / المشاركة</x:v>
      </x:c>
      <x:c r="R49" s="6" t="str"/>
      <x:c r="S49" s="11" t="d">
        <x:v>2026-10-22T06:00:00.000Z</x:v>
      </x:c>
      <x:c r="T49" s="14" t="e">
        <x:f>HYPERLINK("https://leantech.me/uae/en/company/about","leantech.me")</x:f>
        <x:v>HYPERLINK is not implemented. linkLocation=https://leantech.me/uae/en/company/about, friendlyName=leantech.me</x:v>
      </x:c>
      <x:c r="U49" s="14" t="str">
        <x:v>غير متاح في المصادر المراجعة</x:v>
      </x:c>
      <x:c r="V49" s="14" t="str">
        <x:v>غير متاح في المصادر المراجعة</x:v>
      </x:c>
      <x:c r="W49" s="14" t="str">
        <x:v>غير متاح في المصادر المراجعة</x:v>
      </x:c>
      <x:c r="X49" s="14" t="str">
        <x:v>غير متاح في المصادر المراجعة</x:v>
      </x:c>
      <x:c r="Y49" s="14" t="e">
        <x:f>HYPERLINK("https://www.leantech.me/ksa/en/contact","leantech.me")</x:f>
        <x:v>HYPERLINK is not implemented. linkLocation=https://www.leantech.me/ksa/en/contact, friendlyName=leantech.me</x:v>
      </x:c>
      <x:c r="Z49" s="6" t="str">
        <x:v>غير متاح في المصادر المراجعة</x:v>
      </x:c>
      <x:c r="AA49" s="6" t="str">
        <x:v>غير متاح في المصادر المراجعة</x:v>
      </x:c>
    </x:row>
    <x:row r="50" ht="45" customHeight="1">
      <x:c r="A50" s="10" t="str">
        <x:v>S045</x:v>
      </x:c>
      <x:c r="B50" s="6" t="str">
        <x:v>Tarabut</x:v>
      </x:c>
      <x:c r="C50" s="6" t="str">
        <x:v>دبي</x:v>
      </x:c>
      <x:c r="D50" s="6" t="str">
        <x:v>التمويل المفتوح</x:v>
      </x:c>
      <x:c r="E50" s="6" t="n">
        <x:v>2017</x:v>
      </x:c>
      <x:c r="F50" s="6" t="str">
        <x:v>Abdulla Almoayed</x:v>
      </x:c>
      <x:c r="G50" s="6" t="str">
        <x:v>info@tarabut.com</x:v>
      </x:c>
      <x:c r="H50" s="6" t="str">
        <x:v>+971 4 568 9453</x:v>
      </x:c>
      <x:c r="I50" s="6" t="str">
        <x:v>استفسارات عامة</x:v>
      </x:c>
      <x:c r="J50" s="14" t="e">
        <x:f>HYPERLINK("https://tarabut.com","tarabut.com")</x:f>
        <x:v>HYPERLINK is not implemented. linkLocation=https://tarabut.com, friendlyName=tarabut.com</x:v>
      </x:c>
      <x:c r="K50" s="6" t="str">
        <x:v>غير مؤكد من المصادر المراجعة</x:v>
      </x:c>
      <x:c r="L50" s="6" t="str">
        <x:v>غير متاح في المصادر المراجعة</x:v>
      </x:c>
      <x:c r="M50" s="12" t="str">
        <x:v>غير متاح في المصادر المراجعة</x:v>
      </x:c>
      <x:c r="N50" s="6" t="str">
        <x:v>غير متاح في المصادر المراجعة</x:v>
      </x:c>
      <x:c r="O50" s="6" t="str">
        <x:v>لا توجد جولة محددة موثقة ضمن هذه المراجعة</x:v>
      </x:c>
      <x:c r="P50" s="13" t="str">
        <x:v>لم يتم التواصل</x:v>
      </x:c>
      <x:c r="Q50" s="6" t="str">
        <x:v>تأكيد بيانات الشركة واحتياجها للتمويل / المشاركة</x:v>
      </x:c>
      <x:c r="R50" s="6" t="str"/>
      <x:c r="S50" s="11" t="d">
        <x:v>2026-10-22T06:00:00.000Z</x:v>
      </x:c>
      <x:c r="T50" s="14" t="e">
        <x:f>HYPERLINK("https://prospeo.io/c/tarabut","prospeo.io")</x:f>
        <x:v>HYPERLINK is not implemented. linkLocation=https://prospeo.io/c/tarabut, friendlyName=prospeo.io</x:v>
      </x:c>
      <x:c r="U50" s="14" t="str">
        <x:v>https://uaestartupmap.com/company/tarabut
https://www.thenationalnews.com/business/technology/generation-start-up-black-sheep-forges-his-own-path-to-break-down-banking-barriers-1.1209980/
https://www.wamda.com/en/2023/05/tarabut-gateway-closes-32-million-series-round</x:v>
      </x:c>
      <x:c r="V50" s="14" t="str">
        <x:v>غير متاح في المصادر المراجعة</x:v>
      </x:c>
      <x:c r="W50" s="14" t="e">
        <x:f>HYPERLINK("https://www.decypha.com/en/company-list/Tarabut-Holding-Limited-182233","decypha.com")</x:f>
        <x:v>HYPERLINK is not implemented. linkLocation=https://www.decypha.com/en/company-list/Tarabut-Holding-Limited-182233, friendlyName=decypha.com</x:v>
      </x:c>
      <x:c r="X50" s="14" t="e">
        <x:f>HYPERLINK("https://prospeo.io/c/tarabut","prospeo.io")</x:f>
        <x:v>HYPERLINK is not implemented. linkLocation=https://prospeo.io/c/tarabut, friendlyName=prospeo.io</x:v>
      </x:c>
      <x:c r="Y50" s="14" t="e">
        <x:f>HYPERLINK("https://tarabut.com/bh/contact","tarabut.com")</x:f>
        <x:v>HYPERLINK is not implemented. linkLocation=https://tarabut.com/bh/contact, friendlyName=tarabut.com</x:v>
      </x:c>
      <x:c r="Z50" s="6" t="str">
        <x:v>مصدر ثانوي؛ يلزم تأكيد مباشر</x:v>
      </x:c>
      <x:c r="AA50" s="6" t="str">
        <x:v>مصدر ثانوي؛ يلزم تأكيد مباشر</x:v>
      </x:c>
    </x:row>
    <x:row r="51" ht="45" customHeight="1">
      <x:c r="A51" s="10" t="str">
        <x:v>S046</x:v>
      </x:c>
      <x:c r="B51" s="6" t="str">
        <x:v>Ziina</x:v>
      </x:c>
      <x:c r="C51" s="6" t="str">
        <x:v>دبي</x:v>
      </x:c>
      <x:c r="D51" s="6" t="str">
        <x:v>المدفوعات</x:v>
      </x:c>
      <x:c r="E51" s="6" t="str">
        <x:v>غير متاح في المصادر المراجعة</x:v>
      </x:c>
      <x:c r="F51" s="6" t="str">
        <x:v>غير متاح في المصادر المراجعة</x:v>
      </x:c>
      <x:c r="G51" s="6" t="str">
        <x:v>support@ziina.com</x:v>
      </x:c>
      <x:c r="H51" s="6" t="str">
        <x:v>غير متاح في المصادر المراجعة</x:v>
      </x:c>
      <x:c r="I51" s="6" t="str">
        <x:v>دعم / خدمة عملاء؛ اطلب التحويل</x:v>
      </x:c>
      <x:c r="J51" s="14" t="e">
        <x:f>HYPERLINK("https://ziina.com","ziina.com")</x:f>
        <x:v>HYPERLINK is not implemented. linkLocation=https://ziina.com, friendlyName=ziina.com</x:v>
      </x:c>
      <x:c r="K51" s="6" t="str">
        <x:v>غير مؤكد من المصادر المراجعة</x:v>
      </x:c>
      <x:c r="L51" s="6" t="str">
        <x:v>Seed</x:v>
      </x:c>
      <x:c r="M51" s="12" t="n">
        <x:v>7500000</x:v>
      </x:c>
      <x:c r="N51" s="6" t="str">
        <x:v>غير متاح في المصادر المراجعة</x:v>
      </x:c>
      <x:c r="O51" s="6" t="str">
        <x:v>إعلان تاريخي على موقع الشركة</x:v>
      </x:c>
      <x:c r="P51" s="13" t="str">
        <x:v>لم يتم التواصل</x:v>
      </x:c>
      <x:c r="Q51" s="6" t="str">
        <x:v>تأكيد بيانات الشركة واحتياجها للتمويل / المشاركة</x:v>
      </x:c>
      <x:c r="R51" s="6" t="str"/>
      <x:c r="S51" s="11" t="d">
        <x:v>2026-10-22T06:00:00.000Z</x:v>
      </x:c>
      <x:c r="T51" s="14" t="e">
        <x:f>HYPERLINK("https://ziina.com/contact","ziina.com")</x:f>
        <x:v>HYPERLINK is not implemented. linkLocation=https://ziina.com/contact, friendlyName=ziina.com</x:v>
      </x:c>
      <x:c r="U51" s="14" t="str">
        <x:v>غير متاح في المصادر المراجعة</x:v>
      </x:c>
      <x:c r="V51" s="14" t="e">
        <x:f>HYPERLINK("https://ziina.com/about","ziina.com")</x:f>
        <x:v>HYPERLINK is not implemented. linkLocation=https://ziina.com/about, friendlyName=ziina.com</x:v>
      </x:c>
      <x:c r="W51" s="14" t="e">
        <x:f>HYPERLINK("https://intercom.help/ziina-8bdf318a7612/en/articles/6847475-how-can-i-reach-out-to-customer-support","intercom.help")</x:f>
        <x:v>HYPERLINK is not implemented. linkLocation=https://intercom.help/ziina-8bdf318a7612/en/articles/6847475-how-can-i-reach-out-to-customer-support, friendlyName=intercom.help</x:v>
      </x:c>
      <x:c r="X51" s="14" t="str">
        <x:v>غير متاح في المصادر المراجعة</x:v>
      </x:c>
      <x:c r="Y51" s="14" t="e">
        <x:f>HYPERLINK("https://ziina.com/contact","ziina.com")</x:f>
        <x:v>HYPERLINK is not implemented. linkLocation=https://ziina.com/contact, friendlyName=ziina.com</x:v>
      </x:c>
      <x:c r="Z51" s="6" t="str">
        <x:v>موقع الجهة أو قناة مرتبطة بها</x:v>
      </x:c>
      <x:c r="AA51" s="6" t="str">
        <x:v>غير متاح في المصادر المراجعة</x:v>
      </x:c>
    </x:row>
    <x:row r="52" ht="45" customHeight="1">
      <x:c r="A52" s="10" t="str">
        <x:v>S047</x:v>
      </x:c>
      <x:c r="B52" s="6" t="str">
        <x:v>Zenda</x:v>
      </x:c>
      <x:c r="C52" s="6" t="str">
        <x:v>دبي</x:v>
      </x:c>
      <x:c r="D52" s="6" t="str">
        <x:v>مدفوعات التعليم</x:v>
      </x:c>
      <x:c r="E52" s="6" t="str">
        <x:v>غير متاح في المصادر المراجعة</x:v>
      </x:c>
      <x:c r="F52" s="6" t="str">
        <x:v>Raman Thiagarajan; Haseeb Ahmed</x:v>
      </x:c>
      <x:c r="G52" s="6" t="str">
        <x:v>help@zenda.com</x:v>
      </x:c>
      <x:c r="H52" s="6" t="str">
        <x:v>غير متاح في المصادر المراجعة</x:v>
      </x:c>
      <x:c r="I52" s="6" t="str">
        <x:v>دعم / خدمة عملاء؛ اطلب التحويل</x:v>
      </x:c>
      <x:c r="J52" s="14" t="e">
        <x:f>HYPERLINK("https://zenda.com","zenda.com")</x:f>
        <x:v>HYPERLINK is not implemented. linkLocation=https://zenda.com, friendlyName=zenda.com</x:v>
      </x:c>
      <x:c r="K52" s="6" t="str">
        <x:v>غير مؤكد من المصادر المراجعة</x:v>
      </x:c>
      <x:c r="L52" s="6" t="str">
        <x:v>غير متاح في المصادر المراجعة</x:v>
      </x:c>
      <x:c r="M52" s="12" t="str">
        <x:v>غير متاح في المصادر المراجعة</x:v>
      </x:c>
      <x:c r="N52" s="6" t="str">
        <x:v>غير متاح في المصادر المراجعة</x:v>
      </x:c>
      <x:c r="O52" s="6" t="str">
        <x:v>لا توجد جولة محددة موثقة ضمن هذه المراجعة</x:v>
      </x:c>
      <x:c r="P52" s="13" t="str">
        <x:v>لم يتم التواصل</x:v>
      </x:c>
      <x:c r="Q52" s="6" t="str">
        <x:v>تأكيد بيانات الشركة واحتياجها للتمويل / المشاركة</x:v>
      </x:c>
      <x:c r="R52" s="6" t="str"/>
      <x:c r="S52" s="11" t="d">
        <x:v>2026-10-22T06:00:00.000Z</x:v>
      </x:c>
      <x:c r="T52" s="14" t="e">
        <x:f>HYPERLINK("https://www.zenda.com/contact","zenda.com")</x:f>
        <x:v>HYPERLINK is not implemented. linkLocation=https://www.zenda.com/contact, friendlyName=zenda.com</x:v>
      </x:c>
      <x:c r="U52" s="14" t="str">
        <x:v>https://prospeo.io/c/zenda
https://www.zenda.com/about-us
https://www.wamda.com/en/2022/04/uae-fintech-zenda-raises-9-4-million-seed-accelerate-india-expansion-plans</x:v>
      </x:c>
      <x:c r="V52" s="14" t="str">
        <x:v>غير متاح في المصادر المراجعة</x:v>
      </x:c>
      <x:c r="W52" s="14" t="e">
        <x:f>HYPERLINK("https://www.zenda.com/parents","zenda.com")</x:f>
        <x:v>HYPERLINK is not implemented. linkLocation=https://www.zenda.com/parents, friendlyName=zenda.com</x:v>
      </x:c>
      <x:c r="X52" s="14" t="str">
        <x:v>غير متاح في المصادر المراجعة</x:v>
      </x:c>
      <x:c r="Y52" s="14" t="e">
        <x:f>HYPERLINK("https://www.zenda.com/contact","zenda.com")</x:f>
        <x:v>HYPERLINK is not implemented. linkLocation=https://www.zenda.com/contact, friendlyName=zenda.com</x:v>
      </x:c>
      <x:c r="Z52" s="6" t="str">
        <x:v>موقع الجهة أو قناة مرتبطة بها</x:v>
      </x:c>
      <x:c r="AA52" s="6" t="str">
        <x:v>غير متاح في المصادر المراجعة</x:v>
      </x:c>
    </x:row>
    <x:row r="53" ht="45" customHeight="1">
      <x:c r="A53" s="10" t="str">
        <x:v>S048</x:v>
      </x:c>
      <x:c r="B53" s="6" t="str">
        <x:v>Pyypl</x:v>
      </x:c>
      <x:c r="C53" s="6" t="str">
        <x:v>أبوظبي</x:v>
      </x:c>
      <x:c r="D53" s="6" t="str">
        <x:v>التقنية المالية</x:v>
      </x:c>
      <x:c r="E53" s="6" t="n">
        <x:v>2017</x:v>
      </x:c>
      <x:c r="F53" s="6" t="str">
        <x:v>غير متاح في المصادر المراجعة</x:v>
      </x:c>
      <x:c r="G53" s="6" t="str">
        <x:v>غير متاح في المصادر المراجعة</x:v>
      </x:c>
      <x:c r="H53" s="6" t="str">
        <x:v>غير متاح في المصادر المراجعة</x:v>
      </x:c>
      <x:c r="I53" s="6" t="str">
        <x:v>نموذج / موقع الجهة</x:v>
      </x:c>
      <x:c r="J53" s="14" t="e">
        <x:f>HYPERLINK("https://pyypl.com","pyypl.com")</x:f>
        <x:v>HYPERLINK is not implemented. linkLocation=https://pyypl.com, friendlyName=pyypl.com</x:v>
      </x:c>
      <x:c r="K53" s="6" t="str">
        <x:v>غير مؤكد من المصادر المراجعة</x:v>
      </x:c>
      <x:c r="L53" s="6" t="str">
        <x:v>غير متاح في المصادر المراجعة</x:v>
      </x:c>
      <x:c r="M53" s="12" t="str">
        <x:v>غير متاح في المصادر المراجعة</x:v>
      </x:c>
      <x:c r="N53" s="6" t="str">
        <x:v>غير متاح في المصادر المراجعة</x:v>
      </x:c>
      <x:c r="O53" s="6" t="str">
        <x:v>لا توجد جولة محددة موثقة ضمن هذه المراجعة</x:v>
      </x:c>
      <x:c r="P53" s="13" t="str">
        <x:v>لم يتم التواصل</x:v>
      </x:c>
      <x:c r="Q53" s="6" t="str">
        <x:v>تأكيد بيانات الشركة واحتياجها للتمويل / المشاركة</x:v>
      </x:c>
      <x:c r="R53" s="6" t="str"/>
      <x:c r="S53" s="11" t="d">
        <x:v>2026-10-22T06:00:00.000Z</x:v>
      </x:c>
      <x:c r="T53" s="14" t="e">
        <x:f>HYPERLINK("https://beta1.decypha.com/en/company-list/Pyypl-230102","beta1.decypha.com")</x:f>
        <x:v>HYPERLINK is not implemented. linkLocation=https://beta1.decypha.com/en/company-list/Pyypl-230102, friendlyName=beta1.decypha.com</x:v>
      </x:c>
      <x:c r="U53" s="14" t="str">
        <x:v>غير متاح في المصادر المراجعة</x:v>
      </x:c>
      <x:c r="V53" s="14" t="str">
        <x:v>غير متاح في المصادر المراجعة</x:v>
      </x:c>
      <x:c r="W53" s="14" t="str">
        <x:v>غير متاح في المصادر المراجعة</x:v>
      </x:c>
      <x:c r="X53" s="14" t="str">
        <x:v>غير متاح في المصادر المراجعة</x:v>
      </x:c>
      <x:c r="Y53" s="14" t="e">
        <x:f>HYPERLINK("https://www.pyypl.com/contact","pyypl.com")</x:f>
        <x:v>HYPERLINK is not implemented. linkLocation=https://www.pyypl.com/contact, friendlyName=pyypl.com</x:v>
      </x:c>
      <x:c r="Z53" s="6" t="str">
        <x:v>غير متاح في المصادر المراجعة</x:v>
      </x:c>
      <x:c r="AA53" s="6" t="str">
        <x:v>غير متاح في المصادر المراجعة</x:v>
      </x:c>
    </x:row>
    <x:row r="54" ht="45" customHeight="1">
      <x:c r="A54" s="10" t="str">
        <x:v>S049</x:v>
      </x:c>
      <x:c r="B54" s="6" t="str">
        <x:v>YAP</x:v>
      </x:c>
      <x:c r="C54" s="6" t="str">
        <x:v>دبي</x:v>
      </x:c>
      <x:c r="D54" s="6" t="str">
        <x:v>التقنية المالية</x:v>
      </x:c>
      <x:c r="E54" s="6" t="str">
        <x:v>غير متاح في المصادر المراجعة</x:v>
      </x:c>
      <x:c r="F54" s="6" t="str">
        <x:v>غير متاح في المصادر المراجعة</x:v>
      </x:c>
      <x:c r="G54" s="6" t="str">
        <x:v>help@yap.com</x:v>
      </x:c>
      <x:c r="H54" s="6" t="str">
        <x:v>+971 600 551214</x:v>
      </x:c>
      <x:c r="I54" s="6" t="str">
        <x:v>دعم / خدمة عملاء؛ اطلب التحويل</x:v>
      </x:c>
      <x:c r="J54" s="14" t="e">
        <x:f>HYPERLINK("https://yap.com","yap.com")</x:f>
        <x:v>HYPERLINK is not implemented. linkLocation=https://yap.com, friendlyName=yap.com</x:v>
      </x:c>
      <x:c r="K54" s="6" t="str">
        <x:v>غير مؤكد من المصادر المراجعة</x:v>
      </x:c>
      <x:c r="L54" s="6" t="str">
        <x:v>غير متاح في المصادر المراجعة</x:v>
      </x:c>
      <x:c r="M54" s="12" t="str">
        <x:v>غير متاح في المصادر المراجعة</x:v>
      </x:c>
      <x:c r="N54" s="6" t="str">
        <x:v>غير متاح في المصادر المراجعة</x:v>
      </x:c>
      <x:c r="O54" s="6" t="str">
        <x:v>لا توجد جولة محددة موثقة ضمن هذه المراجعة</x:v>
      </x:c>
      <x:c r="P54" s="13" t="str">
        <x:v>لم يتم التواصل</x:v>
      </x:c>
      <x:c r="Q54" s="6" t="str">
        <x:v>تأكيد بيانات الشركة واحتياجها للتمويل / المشاركة</x:v>
      </x:c>
      <x:c r="R54" s="6" t="str">
        <x:v>الموقع يعرض قائمة انتظار لتطبيق جديد؛ بيانات الدعم من دليل ثانوي وتحتاج تأكيداً.</x:v>
      </x:c>
      <x:c r="S54" s="11" t="d">
        <x:v>2026-10-22T06:00:00.000Z</x:v>
      </x:c>
      <x:c r="T54" s="14" t="e">
        <x:f>HYPERLINK("https://yap.com/","yap.com")</x:f>
        <x:v>HYPERLINK is not implemented. linkLocation=https://yap.com/, friendlyName=yap.com</x:v>
      </x:c>
      <x:c r="U54" s="14" t="str">
        <x:v>غير متاح في المصادر المراجعة</x:v>
      </x:c>
      <x:c r="V54" s="14" t="str">
        <x:v>غير متاح في المصادر المراجعة</x:v>
      </x:c>
      <x:c r="W54" s="14" t="e">
        <x:f>HYPERLINK("https://zoftwarehub.com/en-ae/products/yap/overview","zoftwarehub.com")</x:f>
        <x:v>HYPERLINK is not implemented. linkLocation=https://zoftwarehub.com/en-ae/products/yap/overview, friendlyName=zoftwarehub.com</x:v>
      </x:c>
      <x:c r="X54" s="14" t="e">
        <x:f>HYPERLINK("https://zoftwarehub.com/en-ae/products/yap/overview","zoftwarehub.com")</x:f>
        <x:v>HYPERLINK is not implemented. linkLocation=https://zoftwarehub.com/en-ae/products/yap/overview, friendlyName=zoftwarehub.com</x:v>
      </x:c>
      <x:c r="Y54" s="14" t="e">
        <x:f>HYPERLINK("https://yap.com/","yap.com")</x:f>
        <x:v>HYPERLINK is not implemented. linkLocation=https://yap.com/, friendlyName=yap.com</x:v>
      </x:c>
      <x:c r="Z54" s="6" t="str">
        <x:v>مصدر ثانوي؛ يلزم تأكيد مباشر</x:v>
      </x:c>
      <x:c r="AA54" s="6" t="str">
        <x:v>مصدر ثانوي؛ يلزم تأكيد مباشر</x:v>
      </x:c>
    </x:row>
    <x:row r="55" ht="45" customHeight="1">
      <x:c r="A55" s="10" t="str">
        <x:v>S050</x:v>
      </x:c>
      <x:c r="B55" s="6" t="str">
        <x:v>Verofax</x:v>
      </x:c>
      <x:c r="C55" s="6" t="str">
        <x:v>أبوظبي</x:v>
      </x:c>
      <x:c r="D55" s="6" t="str">
        <x:v>الذكاء الاصطناعي</x:v>
      </x:c>
      <x:c r="E55" s="6" t="n">
        <x:v>2018</x:v>
      </x:c>
      <x:c r="F55" s="6" t="str">
        <x:v>Wassim Merheby; Jamil Zablah</x:v>
      </x:c>
      <x:c r="G55" s="6" t="str">
        <x:v>info@verofax.com</x:v>
      </x:c>
      <x:c r="H55" s="6" t="str">
        <x:v>غير متاح في المصادر المراجعة</x:v>
      </x:c>
      <x:c r="I55" s="6" t="str">
        <x:v>استفسارات عامة</x:v>
      </x:c>
      <x:c r="J55" s="14" t="e">
        <x:f>HYPERLINK("https://verofax.com","verofax.com")</x:f>
        <x:v>HYPERLINK is not implemented. linkLocation=https://verofax.com, friendlyName=verofax.com</x:v>
      </x:c>
      <x:c r="K55" s="6" t="str">
        <x:v>غير مؤكد من المصادر المراجعة</x:v>
      </x:c>
      <x:c r="L55" s="6" t="str">
        <x:v>غير متاح في المصادر المراجعة</x:v>
      </x:c>
      <x:c r="M55" s="12" t="str">
        <x:v>غير متاح في المصادر المراجعة</x:v>
      </x:c>
      <x:c r="N55" s="6" t="str">
        <x:v>غير متاح في المصادر المراجعة</x:v>
      </x:c>
      <x:c r="O55" s="6" t="str">
        <x:v>لا توجد جولة محددة موثقة ضمن هذه المراجعة</x:v>
      </x:c>
      <x:c r="P55" s="13" t="str">
        <x:v>لم يتم التواصل</x:v>
      </x:c>
      <x:c r="Q55" s="6" t="str">
        <x:v>تأكيد بيانات الشركة واحتياجها للتمويل / المشاركة</x:v>
      </x:c>
      <x:c r="R55" s="6" t="str"/>
      <x:c r="S55" s="11" t="d">
        <x:v>2026-10-22T06:00:00.000Z</x:v>
      </x:c>
      <x:c r="T55" s="14" t="e">
        <x:f>HYPERLINK("https://verofax.com/privacy-policy/","verofax.com")</x:f>
        <x:v>HYPERLINK is not implemented. linkLocation=https://verofax.com/privacy-policy/, friendlyName=verofax.com</x:v>
      </x:c>
      <x:c r="U55" s="14" t="str">
        <x:v>https://www.webnewswire.com/2023/11/23/verofax-is-selected-by-pwc-middle-east-among-top-future50-climatech-start-up/
https://www.thenationalnews.com/business/technology/generation-start-up-how-abu-dhabi-s-verofax-is-helping-companies-combat-counterfeiting-1.1131415
https://www.wamda.com/index.php/2024/08/verofax-secures-3-million-bridge-round</x:v>
      </x:c>
      <x:c r="V55" s="14" t="str">
        <x:v>غير متاح في المصادر المراجعة</x:v>
      </x:c>
      <x:c r="W55" s="14" t="e">
        <x:f>HYPERLINK("https://verofax.com/contact-us/","verofax.com")</x:f>
        <x:v>HYPERLINK is not implemented. linkLocation=https://verofax.com/contact-us/, friendlyName=verofax.com</x:v>
      </x:c>
      <x:c r="X55" s="14" t="str">
        <x:v>غير متاح في المصادر المراجعة</x:v>
      </x:c>
      <x:c r="Y55" s="14" t="e">
        <x:f>HYPERLINK("https://verofax.com/contact-us/","verofax.com")</x:f>
        <x:v>HYPERLINK is not implemented. linkLocation=https://verofax.com/contact-us/, friendlyName=verofax.com</x:v>
      </x:c>
      <x:c r="Z55" s="6" t="str">
        <x:v>موقع الجهة أو قناة مرتبطة بها</x:v>
      </x:c>
      <x:c r="AA55" s="6" t="str">
        <x:v>غير متاح في المصادر المراجعة</x:v>
      </x:c>
    </x:row>
    <x:row r="56" ht="45" customHeight="1">
      <x:c r="A56" s="10" t="str">
        <x:v>S051</x:v>
      </x:c>
      <x:c r="B56" s="6" t="str">
        <x:v>Qashio</x:v>
      </x:c>
      <x:c r="C56" s="6" t="str">
        <x:v>دبي</x:v>
      </x:c>
      <x:c r="D56" s="6" t="str">
        <x:v>إدارة المصروفات</x:v>
      </x:c>
      <x:c r="E56" s="6" t="str">
        <x:v>غير متاح في المصادر المراجعة</x:v>
      </x:c>
      <x:c r="F56" s="6" t="str">
        <x:v>Armin Moradi</x:v>
      </x:c>
      <x:c r="G56" s="6" t="str">
        <x:v>support@qashio.com</x:v>
      </x:c>
      <x:c r="H56" s="6" t="str">
        <x:v>+971 4 321 1944</x:v>
      </x:c>
      <x:c r="I56" s="6" t="str">
        <x:v>دعم / خدمة عملاء؛ اطلب التحويل</x:v>
      </x:c>
      <x:c r="J56" s="14" t="e">
        <x:f>HYPERLINK("https://qashio.com","qashio.com")</x:f>
        <x:v>HYPERLINK is not implemented. linkLocation=https://qashio.com, friendlyName=qashio.com</x:v>
      </x:c>
      <x:c r="K56" s="6" t="str">
        <x:v>غير مؤكد من المصادر المراجعة</x:v>
      </x:c>
      <x:c r="L56" s="6" t="str">
        <x:v>Seed</x:v>
      </x:c>
      <x:c r="M56" s="12" t="n">
        <x:v>10000000</x:v>
      </x:c>
      <x:c r="N56" s="6" t="str">
        <x:v>2022-11-22</x:v>
      </x:c>
      <x:c r="O56" s="6" t="str">
        <x:v>يشمل تمويلًا بالملكية وغير الملكية</x:v>
      </x:c>
      <x:c r="P56" s="13" t="str">
        <x:v>لم يتم التواصل</x:v>
      </x:c>
      <x:c r="Q56" s="6" t="str">
        <x:v>تأكيد بيانات الشركة واحتياجها للتمويل / المشاركة</x:v>
      </x:c>
      <x:c r="R56" s="6" t="str"/>
      <x:c r="S56" s="11" t="d">
        <x:v>2026-10-22T06:00:00.000Z</x:v>
      </x:c>
      <x:c r="T56" s="14" t="e">
        <x:f>HYPERLINK("https://www.qashio.com/contact-us","qashio.com")</x:f>
        <x:v>HYPERLINK is not implemented. linkLocation=https://www.qashio.com/contact-us, friendlyName=qashio.com</x:v>
      </x:c>
      <x:c r="U56" s="14" t="str">
        <x:v>https://assets.entrepreneur.com/magazine/2022-08-entrepreneur-middle-east.pdf
https://www.thenationalnews.com/business/start-ups/2022/11/22/uae-fintech-qashio-raises-10m-to-accelerate-expansion-into-saudi-arabia/
https://uaestartupmap.com/company/qashio</x:v>
      </x:c>
      <x:c r="V56" s="14" t="e">
        <x:f>HYPERLINK("https://www.thenationalnews.com/business/start-ups/2022/11/22/uae-fintech-qashio-raises-10m-to-accelerate-expansion-into-saudi-arabia/","thenationalnews.com")</x:f>
        <x:v>HYPERLINK is not implemented. linkLocation=https://www.thenationalnews.com/business/start-ups/2022/11/22/uae-fintech-qashio-raises-10m-to-accelerate-expansion-into-saudi-arabia/, friendlyName=thenationalnews.com</x:v>
      </x:c>
      <x:c r="W56" s="14" t="e">
        <x:f>HYPERLINK("https://www.qashio.com/contact-us","qashio.com")</x:f>
        <x:v>HYPERLINK is not implemented. linkLocation=https://www.qashio.com/contact-us, friendlyName=qashio.com</x:v>
      </x:c>
      <x:c r="X56" s="14" t="e">
        <x:f>HYPERLINK("https://www.qashio.com/contact-us","qashio.com")</x:f>
        <x:v>HYPERLINK is not implemented. linkLocation=https://www.qashio.com/contact-us, friendlyName=qashio.com</x:v>
      </x:c>
      <x:c r="Y56" s="14" t="e">
        <x:f>HYPERLINK("https://www.qashio.com/contact-us","qashio.com")</x:f>
        <x:v>HYPERLINK is not implemented. linkLocation=https://www.qashio.com/contact-us, friendlyName=qashio.com</x:v>
      </x:c>
      <x:c r="Z56" s="6" t="str">
        <x:v>موقع الجهة أو قناة مرتبطة بها</x:v>
      </x:c>
      <x:c r="AA56" s="6" t="str">
        <x:v>موقع الجهة أو قناة مرتبطة بها</x:v>
      </x:c>
    </x:row>
    <x:row r="57" ht="45" customHeight="1">
      <x:c r="A57" s="10" t="str">
        <x:v>S052</x:v>
      </x:c>
      <x:c r="B57" s="6" t="str">
        <x:v>Qlub</x:v>
      </x:c>
      <x:c r="C57" s="6" t="str">
        <x:v>دبي</x:v>
      </x:c>
      <x:c r="D57" s="6" t="str">
        <x:v>مدفوعات المطاعم</x:v>
      </x:c>
      <x:c r="E57" s="6" t="str">
        <x:v>غير متاح في المصادر المراجعة</x:v>
      </x:c>
      <x:c r="F57" s="6" t="str">
        <x:v>غير متاح في المصادر المراجعة</x:v>
      </x:c>
      <x:c r="G57" s="6" t="str">
        <x:v>info@qlub.io</x:v>
      </x:c>
      <x:c r="H57" s="6" t="str">
        <x:v>+971 4 581 3675</x:v>
      </x:c>
      <x:c r="I57" s="6" t="str">
        <x:v>استفسارات عامة</x:v>
      </x:c>
      <x:c r="J57" s="14" t="e">
        <x:f>HYPERLINK("https://qlub.io","qlub.io")</x:f>
        <x:v>HYPERLINK is not implemented. linkLocation=https://qlub.io, friendlyName=qlub.io</x:v>
      </x:c>
      <x:c r="K57" s="6" t="str">
        <x:v>غير مؤكد من المصادر المراجعة</x:v>
      </x:c>
      <x:c r="L57" s="6" t="str">
        <x:v>جولة تمويل</x:v>
      </x:c>
      <x:c r="M57" s="12" t="n">
        <x:v>25000000</x:v>
      </x:c>
      <x:c r="N57" s="6" t="str">
        <x:v>2023-03</x:v>
      </x:c>
      <x:c r="O57" s="6" t="str">
        <x:v>قيمة الجولة وليست التمويل التراكمي</x:v>
      </x:c>
      <x:c r="P57" s="13" t="str">
        <x:v>لم يتم التواصل</x:v>
      </x:c>
      <x:c r="Q57" s="6" t="str">
        <x:v>تأكيد بيانات الشركة واحتياجها للتمويل / المشاركة</x:v>
      </x:c>
      <x:c r="R57" s="6" t="str"/>
      <x:c r="S57" s="11" t="d">
        <x:v>2026-10-22T06:00:00.000Z</x:v>
      </x:c>
      <x:c r="T57" s="14" t="e">
        <x:f>HYPERLINK("https://qlub.io/ae/en?from=AppAgg.com","qlub.io")</x:f>
        <x:v>HYPERLINK is not implemented. linkLocation=https://qlub.io/ae/en?from=AppAgg.com, friendlyName=qlub.io</x:v>
      </x:c>
      <x:c r="U57" s="14" t="str">
        <x:v>غير متاح في المصادر المراجعة</x:v>
      </x:c>
      <x:c r="V57" s="14" t="e">
        <x:f>HYPERLINK("https://www.wamda.com/index.php/en/2023/03/uae-fintech-qlub-raises-25-million","wamda.com")</x:f>
        <x:v>HYPERLINK is not implemented. linkLocation=https://www.wamda.com/index.php/en/2023/03/uae-fintech-qlub-raises-25-million, friendlyName=wamda.com</x:v>
      </x:c>
      <x:c r="W57" s="14" t="e">
        <x:f>HYPERLINK("https://qlub.io/ae/en?from=AppAgg.com","qlub.io")</x:f>
        <x:v>HYPERLINK is not implemented. linkLocation=https://qlub.io/ae/en?from=AppAgg.com, friendlyName=qlub.io</x:v>
      </x:c>
      <x:c r="X57" s="14" t="e">
        <x:f>HYPERLINK("https://qlub.io/ae/en?from=AppAgg.com","qlub.io")</x:f>
        <x:v>HYPERLINK is not implemented. linkLocation=https://qlub.io/ae/en?from=AppAgg.com, friendlyName=qlub.io</x:v>
      </x:c>
      <x:c r="Y57" s="14" t="e">
        <x:f>HYPERLINK("https://qlub.io/ae/en?from=AppAgg.com","qlub.io")</x:f>
        <x:v>HYPERLINK is not implemented. linkLocation=https://qlub.io/ae/en?from=AppAgg.com, friendlyName=qlub.io</x:v>
      </x:c>
      <x:c r="Z57" s="6" t="str">
        <x:v>موقع الجهة أو قناة مرتبطة بها</x:v>
      </x:c>
      <x:c r="AA57" s="6" t="str">
        <x:v>موقع الجهة أو قناة مرتبطة بها</x:v>
      </x:c>
    </x:row>
    <x:row r="58" ht="45" customHeight="1">
      <x:c r="A58" s="10" t="str">
        <x:v>S053</x:v>
      </x:c>
      <x:c r="B58" s="6" t="str">
        <x:v>Mamo</x:v>
      </x:c>
      <x:c r="C58" s="6" t="str">
        <x:v>دبي</x:v>
      </x:c>
      <x:c r="D58" s="6" t="str">
        <x:v>المدفوعات</x:v>
      </x:c>
      <x:c r="E58" s="6" t="n">
        <x:v>2020</x:v>
      </x:c>
      <x:c r="F58" s="6" t="str">
        <x:v>Imad Gharazeddine; Asim Janjua</x:v>
      </x:c>
      <x:c r="G58" s="6" t="str">
        <x:v>support@mamopay.com</x:v>
      </x:c>
      <x:c r="H58" s="6" t="str">
        <x:v>غير متاح في المصادر المراجعة</x:v>
      </x:c>
      <x:c r="I58" s="6" t="str">
        <x:v>دعم / خدمة عملاء؛ اطلب التحويل</x:v>
      </x:c>
      <x:c r="J58" s="14" t="e">
        <x:f>HYPERLINK("https://mamopay.com","mamopay.com")</x:f>
        <x:v>HYPERLINK is not implemented. linkLocation=https://mamopay.com, friendlyName=mamopay.com</x:v>
      </x:c>
      <x:c r="K58" s="6" t="str">
        <x:v>غير مؤكد من المصادر المراجعة</x:v>
      </x:c>
      <x:c r="L58" s="6" t="str">
        <x:v>جولة تمويل</x:v>
      </x:c>
      <x:c r="M58" s="12" t="n">
        <x:v>3400000</x:v>
      </x:c>
      <x:c r="N58" s="6" t="str">
        <x:v>2024-07</x:v>
      </x:c>
      <x:c r="O58" s="6" t="str">
        <x:v>استثمار معلن</x:v>
      </x:c>
      <x:c r="P58" s="13" t="str">
        <x:v>لم يتم التواصل</x:v>
      </x:c>
      <x:c r="Q58" s="6" t="str">
        <x:v>تأكيد بيانات الشركة واحتياجها للتمويل / المشاركة</x:v>
      </x:c>
      <x:c r="R58" s="6" t="str"/>
      <x:c r="S58" s="11" t="d">
        <x:v>2026-10-22T06:00:00.000Z</x:v>
      </x:c>
      <x:c r="T58" s="14" t="e">
        <x:f>HYPERLINK("https://rakez.com/portals/0/download/mazeed_partners_list.pdf?ver=2020-10-14-044655-690","rakez.com")</x:f>
        <x:v>HYPERLINK is not implemented. linkLocation=https://rakez.com/portals/0/download/mazeed_partners_list.pdf?ver=2020-10-14-044655-690, friendlyName=rakez.com</x:v>
      </x:c>
      <x:c r="U58" s="14" t="str">
        <x:v>https://www.mamopay.com/legal/privacy
https://rakez.com/portals/0/download/mazeed_partners_list.pdf?ver=2020-10-14-044655-690
https://rakez.com/Portals/0/Download/Mazeed_Partners_List.pdf%3Fver%3D2020-10-14-044655-690</x:v>
      </x:c>
      <x:c r="V58" s="14" t="e">
        <x:f>HYPERLINK("https://www.forbesmiddleeast.com/lists/the-middle-easts-fintech-50-2025/mamo/","forbesmiddleeast.com")</x:f>
        <x:v>HYPERLINK is not implemented. linkLocation=https://www.forbesmiddleeast.com/lists/the-middle-easts-fintech-50-2025/mamo/, friendlyName=forbesmiddleeast.com</x:v>
      </x:c>
      <x:c r="W58" s="14" t="e">
        <x:f>HYPERLINK("https://www.mamopay.com/contact","mamopay.com")</x:f>
        <x:v>HYPERLINK is not implemented. linkLocation=https://www.mamopay.com/contact, friendlyName=mamopay.com</x:v>
      </x:c>
      <x:c r="X58" s="14" t="str">
        <x:v>غير متاح في المصادر المراجعة</x:v>
      </x:c>
      <x:c r="Y58" s="14" t="e">
        <x:f>HYPERLINK("https://www.mamopay.com/contact","mamopay.com")</x:f>
        <x:v>HYPERLINK is not implemented. linkLocation=https://www.mamopay.com/contact, friendlyName=mamopay.com</x:v>
      </x:c>
      <x:c r="Z58" s="6" t="str">
        <x:v>موقع الجهة أو قناة مرتبطة بها</x:v>
      </x:c>
      <x:c r="AA58" s="6" t="str">
        <x:v>غير متاح في المصادر المراجعة</x:v>
      </x:c>
    </x:row>
    <x:row r="59" ht="45" customHeight="1">
      <x:c r="A59" s="10" t="str">
        <x:v>S054</x:v>
      </x:c>
      <x:c r="B59" s="6" t="str">
        <x:v>YallaCompare</x:v>
      </x:c>
      <x:c r="C59" s="6" t="str">
        <x:v>دبي</x:v>
      </x:c>
      <x:c r="D59" s="6" t="str">
        <x:v>التأمين الرقمي</x:v>
      </x:c>
      <x:c r="E59" s="6" t="str">
        <x:v>غير متاح في المصادر المراجعة</x:v>
      </x:c>
      <x:c r="F59" s="6" t="str">
        <x:v>غير متاح في المصادر المراجعة</x:v>
      </x:c>
      <x:c r="G59" s="6" t="str">
        <x:v>support@yallacompare.com</x:v>
      </x:c>
      <x:c r="H59" s="6" t="str">
        <x:v>+971 4 562 2100</x:v>
      </x:c>
      <x:c r="I59" s="6" t="str">
        <x:v>دعم / خدمة عملاء؛ اطلب التحويل</x:v>
      </x:c>
      <x:c r="J59" s="14" t="e">
        <x:f>HYPERLINK("https://yallacompare.com","yallacompare.com")</x:f>
        <x:v>HYPERLINK is not implemented. linkLocation=https://yallacompare.com, friendlyName=yallacompare.com</x:v>
      </x:c>
      <x:c r="K59" s="6" t="str">
        <x:v>غير مؤكد من المصادر المراجعة</x:v>
      </x:c>
      <x:c r="L59" s="6" t="str">
        <x:v>جولة تمويل</x:v>
      </x:c>
      <x:c r="M59" s="12" t="n">
        <x:v>4250000</x:v>
      </x:c>
      <x:c r="N59" s="6" t="str">
        <x:v>غير متاح في المصادر المراجعة</x:v>
      </x:c>
      <x:c r="O59" s="6" t="str">
        <x:v>قيمة في صفحة التعريف دون تاريخ واضح</x:v>
      </x:c>
      <x:c r="P59" s="13" t="str">
        <x:v>لم يتم التواصل</x:v>
      </x:c>
      <x:c r="Q59" s="6" t="str">
        <x:v>تأكيد بيانات الشركة واحتياجها للتمويل / المشاركة</x:v>
      </x:c>
      <x:c r="R59" s="6" t="str"/>
      <x:c r="S59" s="11" t="d">
        <x:v>2026-10-22T06:00:00.000Z</x:v>
      </x:c>
      <x:c r="T59" s="14" t="e">
        <x:f>HYPERLINK("https://app.yallacompare.com/insurance/uae/en/contact-us","app.yallacompare.com")</x:f>
        <x:v>HYPERLINK is not implemented. linkLocation=https://app.yallacompare.com/insurance/uae/en/contact-us, friendlyName=app.yallacompare.com</x:v>
      </x:c>
      <x:c r="U59" s="14" t="str">
        <x:v>غير متاح في المصادر المراجعة</x:v>
      </x:c>
      <x:c r="V59" s="14" t="e">
        <x:f>HYPERLINK("https://yc3.yallacompare.com/uae/en/about-us","yc3.yallacompare.com")</x:f>
        <x:v>HYPERLINK is not implemented. linkLocation=https://yc3.yallacompare.com/uae/en/about-us, friendlyName=yc3.yallacompare.com</x:v>
      </x:c>
      <x:c r="W59" s="14" t="e">
        <x:f>HYPERLINK("https://app.yallacompare.com/insurance/uae/en/contact-us","app.yallacompare.com")</x:f>
        <x:v>HYPERLINK is not implemented. linkLocation=https://app.yallacompare.com/insurance/uae/en/contact-us, friendlyName=app.yallacompare.com</x:v>
      </x:c>
      <x:c r="X59" s="14" t="e">
        <x:f>HYPERLINK("https://yc3.yallacompare.com/uae/en/contact","yc3.yallacompare.com")</x:f>
        <x:v>HYPERLINK is not implemented. linkLocation=https://yc3.yallacompare.com/uae/en/contact, friendlyName=yc3.yallacompare.com</x:v>
      </x:c>
      <x:c r="Y59" s="14" t="e">
        <x:f>HYPERLINK("https://app.yallacompare.com/insurance/uae/en/contact-us","app.yallacompare.com")</x:f>
        <x:v>HYPERLINK is not implemented. linkLocation=https://app.yallacompare.com/insurance/uae/en/contact-us, friendlyName=app.yallacompare.com</x:v>
      </x:c>
      <x:c r="Z59" s="6" t="str">
        <x:v>موقع الجهة أو قناة مرتبطة بها</x:v>
      </x:c>
      <x:c r="AA59" s="6" t="str">
        <x:v>موقع الجهة أو قناة مرتبطة بها</x:v>
      </x:c>
    </x:row>
    <x:row r="60" ht="45" customHeight="1">
      <x:c r="A60" s="10" t="str">
        <x:v>S055</x:v>
      </x:c>
      <x:c r="B60" s="6" t="str">
        <x:v>Bayzat</x:v>
      </x:c>
      <x:c r="C60" s="6" t="str">
        <x:v>دبي</x:v>
      </x:c>
      <x:c r="D60" s="6" t="str">
        <x:v>الموارد البشرية والتأمين</x:v>
      </x:c>
      <x:c r="E60" s="6" t="n">
        <x:v>2012</x:v>
      </x:c>
      <x:c r="F60" s="6" t="str">
        <x:v>Talal Bayaa; Brian Habibi; Tarek Bayaa</x:v>
      </x:c>
      <x:c r="G60" s="6" t="str">
        <x:v>talktous@bayzat.com</x:v>
      </x:c>
      <x:c r="H60" s="6" t="str">
        <x:v>+971 4 549 0376</x:v>
      </x:c>
      <x:c r="I60" s="6" t="str">
        <x:v>استفسارات عامة</x:v>
      </x:c>
      <x:c r="J60" s="14" t="e">
        <x:f>HYPERLINK("https://bayzat.com","bayzat.com")</x:f>
        <x:v>HYPERLINK is not implemented. linkLocation=https://bayzat.com, friendlyName=bayzat.com</x:v>
      </x:c>
      <x:c r="K60" s="6" t="str">
        <x:v>غير مؤكد من المصادر المراجعة</x:v>
      </x:c>
      <x:c r="L60" s="6" t="str">
        <x:v>غير متاح في المصادر المراجعة</x:v>
      </x:c>
      <x:c r="M60" s="12" t="str">
        <x:v>غير متاح في المصادر المراجعة</x:v>
      </x:c>
      <x:c r="N60" s="6" t="str">
        <x:v>غير متاح في المصادر المراجعة</x:v>
      </x:c>
      <x:c r="O60" s="6" t="str">
        <x:v>لا توجد جولة محددة موثقة ضمن هذه المراجعة</x:v>
      </x:c>
      <x:c r="P60" s="13" t="str">
        <x:v>لم يتم التواصل</x:v>
      </x:c>
      <x:c r="Q60" s="6" t="str">
        <x:v>تأكيد بيانات الشركة واحتياجها للتمويل / المشاركة</x:v>
      </x:c>
      <x:c r="R60" s="6" t="str"/>
      <x:c r="S60" s="11" t="d">
        <x:v>2026-10-22T06:00:00.000Z</x:v>
      </x:c>
      <x:c r="T60" s="14" t="e">
        <x:f>HYPERLINK("https://www.bayzat.com/","bayzat.com")</x:f>
        <x:v>HYPERLINK is not implemented. linkLocation=https://www.bayzat.com/, friendlyName=bayzat.com</x:v>
      </x:c>
      <x:c r="U60" s="14" t="str">
        <x:v>https://assets.entrepreneur.com/magazine/2020-09-entrepreneur-middle-east.pdf
https://raed.vc/portfolio/bayzat/
https://www.wamda.com/index.php/en/2022/12/bayzat-raises-25-million-series-c-round</x:v>
      </x:c>
      <x:c r="V60" s="14" t="str">
        <x:v>غير متاح في المصادر المراجعة</x:v>
      </x:c>
      <x:c r="W60" s="14" t="e">
        <x:f>HYPERLINK("https://www.bayzat.com/ksa/contact","bayzat.com")</x:f>
        <x:v>HYPERLINK is not implemented. linkLocation=https://www.bayzat.com/ksa/contact, friendlyName=bayzat.com</x:v>
      </x:c>
      <x:c r="X60" s="14" t="e">
        <x:f>HYPERLINK("https://www.bayzat.com/contact","bayzat.com")</x:f>
        <x:v>HYPERLINK is not implemented. linkLocation=https://www.bayzat.com/contact, friendlyName=bayzat.com</x:v>
      </x:c>
      <x:c r="Y60" s="14" t="e">
        <x:f>HYPERLINK("https://www.bayzat.com/contact","bayzat.com")</x:f>
        <x:v>HYPERLINK is not implemented. linkLocation=https://www.bayzat.com/contact, friendlyName=bayzat.com</x:v>
      </x:c>
      <x:c r="Z60" s="6" t="str">
        <x:v>موقع الجهة أو قناة مرتبطة بها</x:v>
      </x:c>
      <x:c r="AA60" s="6" t="str">
        <x:v>موقع الجهة أو قناة مرتبطة بها</x:v>
      </x:c>
    </x:row>
    <x:row r="61" ht="45" customHeight="1">
      <x:c r="A61" s="10" t="str">
        <x:v>S056</x:v>
      </x:c>
      <x:c r="B61" s="6" t="str">
        <x:v>NOW Money</x:v>
      </x:c>
      <x:c r="C61" s="6" t="str">
        <x:v>دبي</x:v>
      </x:c>
      <x:c r="D61" s="6" t="str">
        <x:v>الشمول المالي</x:v>
      </x:c>
      <x:c r="E61" s="6" t="n">
        <x:v>2017</x:v>
      </x:c>
      <x:c r="F61" s="6" t="str">
        <x:v>Ian Dillon; Katherine Budd</x:v>
      </x:c>
      <x:c r="G61" s="6" t="str">
        <x:v>info@nowmoney.me</x:v>
      </x:c>
      <x:c r="H61" s="6" t="str">
        <x:v>600 566 900</x:v>
      </x:c>
      <x:c r="I61" s="6" t="str">
        <x:v>استفسارات عامة</x:v>
      </x:c>
      <x:c r="J61" s="14" t="e">
        <x:f>HYPERLINK("https://nowmoney.me","nowmoney.me")</x:f>
        <x:v>HYPERLINK is not implemented. linkLocation=https://nowmoney.me, friendlyName=nowmoney.me</x:v>
      </x:c>
      <x:c r="K61" s="6" t="str">
        <x:v>غير مؤكد من المصادر المراجعة</x:v>
      </x:c>
      <x:c r="L61" s="6" t="str">
        <x:v>غير متاح في المصادر المراجعة</x:v>
      </x:c>
      <x:c r="M61" s="12" t="str">
        <x:v>غير متاح في المصادر المراجعة</x:v>
      </x:c>
      <x:c r="N61" s="6" t="str">
        <x:v>غير متاح في المصادر المراجعة</x:v>
      </x:c>
      <x:c r="O61" s="6" t="str">
        <x:v>لا توجد جولة محددة موثقة ضمن هذه المراجعة</x:v>
      </x:c>
      <x:c r="P61" s="13" t="str">
        <x:v>لم يتم التواصل</x:v>
      </x:c>
      <x:c r="Q61" s="6" t="str">
        <x:v>تأكيد بيانات الشركة واحتياجها للتمويل / المشاركة</x:v>
      </x:c>
      <x:c r="R61" s="6" t="str"/>
      <x:c r="S61" s="11" t="d">
        <x:v>2026-10-22T06:00:00.000Z</x:v>
      </x:c>
      <x:c r="T61" s="14" t="e">
        <x:f>HYPERLINK("https://assets.entrepreneur.com/magazine/2020-02-entrepreneur-middle-east.pdf","assets.entrepreneur.com")</x:f>
        <x:v>HYPERLINK is not implemented. linkLocation=https://assets.entrepreneur.com/magazine/2020-02-entrepreneur-middle-east.pdf, friendlyName=assets.entrepreneur.com</x:v>
      </x:c>
      <x:c r="U61" s="14" t="str">
        <x:v>https://www.wamda.com/wamda-investments/now-money-1
https://www.thenationalnews.com/business/money/uae-based-fintech-start-up-now-money-secures-700000-us-investment-1.622335
https://www.thenationalnews.com/business/money/uae-fintech-now-money-raises-7m-in-new-funding-round-1.1193565</x:v>
      </x:c>
      <x:c r="V61" s="14" t="str">
        <x:v>غير متاح في المصادر المراجعة</x:v>
      </x:c>
      <x:c r="W61" s="14" t="e">
        <x:f>HYPERLINK("https://nowmoney.me/help/","nowmoney.me")</x:f>
        <x:v>HYPERLINK is not implemented. linkLocation=https://nowmoney.me/help/, friendlyName=nowmoney.me</x:v>
      </x:c>
      <x:c r="X61" s="14" t="e">
        <x:f>HYPERLINK("https://nowmoney.me/contact/","nowmoney.me")</x:f>
        <x:v>HYPERLINK is not implemented. linkLocation=https://nowmoney.me/contact/, friendlyName=nowmoney.me</x:v>
      </x:c>
      <x:c r="Y61" s="14" t="e">
        <x:f>HYPERLINK("https://nowmoney.me/contact/","nowmoney.me")</x:f>
        <x:v>HYPERLINK is not implemented. linkLocation=https://nowmoney.me/contact/, friendlyName=nowmoney.me</x:v>
      </x:c>
      <x:c r="Z61" s="6" t="str">
        <x:v>موقع الجهة أو قناة مرتبطة بها</x:v>
      </x:c>
      <x:c r="AA61" s="6" t="str">
        <x:v>موقع الجهة أو قناة مرتبطة بها</x:v>
      </x:c>
    </x:row>
    <x:row r="62" ht="45" customHeight="1">
      <x:c r="A62" s="10" t="str">
        <x:v>S057</x:v>
      </x:c>
      <x:c r="B62" s="6" t="str">
        <x:v>Klaim</x:v>
      </x:c>
      <x:c r="C62" s="6" t="str">
        <x:v>دبي</x:v>
      </x:c>
      <x:c r="D62" s="6" t="str">
        <x:v>تمويل القطاع الصحي</x:v>
      </x:c>
      <x:c r="E62" s="6" t="str">
        <x:v>غير متاح في المصادر المراجعة</x:v>
      </x:c>
      <x:c r="F62" s="6" t="str">
        <x:v>Karim Dakki; Ghafoor Ahmad</x:v>
      </x:c>
      <x:c r="G62" s="6" t="str">
        <x:v>hello@klaim.ai</x:v>
      </x:c>
      <x:c r="H62" s="6" t="str">
        <x:v>+971 4 876 4096</x:v>
      </x:c>
      <x:c r="I62" s="6" t="str">
        <x:v>استفسارات عامة</x:v>
      </x:c>
      <x:c r="J62" s="14" t="e">
        <x:f>HYPERLINK("https://klaim.ai","klaim.ai")</x:f>
        <x:v>HYPERLINK is not implemented. linkLocation=https://klaim.ai, friendlyName=klaim.ai</x:v>
      </x:c>
      <x:c r="K62" s="6" t="str">
        <x:v>غير مؤكد من المصادر المراجعة</x:v>
      </x:c>
      <x:c r="L62" s="6" t="str">
        <x:v>Series A</x:v>
      </x:c>
      <x:c r="M62" s="12" t="n">
        <x:v>10000000</x:v>
      </x:c>
      <x:c r="N62" s="6" t="str">
        <x:v>2025-03</x:v>
      </x:c>
      <x:c r="O62" s="6" t="str">
        <x:v>حقوق ملكية؛ بالإضافة إلى تمويل 16 مليون دولار</x:v>
      </x:c>
      <x:c r="P62" s="13" t="str">
        <x:v>لم يتم التواصل</x:v>
      </x:c>
      <x:c r="Q62" s="6" t="str">
        <x:v>تأكيد بيانات الشركة واحتياجها للتمويل / المشاركة</x:v>
      </x:c>
      <x:c r="R62" s="6" t="str"/>
      <x:c r="S62" s="11" t="d">
        <x:v>2026-10-22T06:00:00.000Z</x:v>
      </x:c>
      <x:c r="T62" s="14" t="e">
        <x:f>HYPERLINK("https://klaim.com/contact","klaim.com")</x:f>
        <x:v>HYPERLINK is not implemented. linkLocation=https://klaim.com/contact, friendlyName=klaim.com</x:v>
      </x:c>
      <x:c r="U62" s="14" t="str">
        <x:v>https://klaim.ai/
https://www.forbesmiddleeast.com/lists/the-middle-easts-fintech-50-2026/klaim-3/
https://www.wamda.com/en/2021/03/klaim-raises-1-million-seed-round</x:v>
      </x:c>
      <x:c r="V62" s="14" t="e">
        <x:f>HYPERLINK("https://www.forbesmiddleeast.com/lists/the-middle-easts-fintech-50-2026/klaim-3/","forbesmiddleeast.com")</x:f>
        <x:v>HYPERLINK is not implemented. linkLocation=https://www.forbesmiddleeast.com/lists/the-middle-easts-fintech-50-2026/klaim-3/, friendlyName=forbesmiddleeast.com</x:v>
      </x:c>
      <x:c r="W62" s="14" t="e">
        <x:f>HYPERLINK("https://klaim.com/contact","klaim.com")</x:f>
        <x:v>HYPERLINK is not implemented. linkLocation=https://klaim.com/contact, friendlyName=klaim.com</x:v>
      </x:c>
      <x:c r="X62" s="14" t="e">
        <x:f>HYPERLINK("https://klaim.com/contact","klaim.com")</x:f>
        <x:v>HYPERLINK is not implemented. linkLocation=https://klaim.com/contact, friendlyName=klaim.com</x:v>
      </x:c>
      <x:c r="Y62" s="14" t="e">
        <x:f>HYPERLINK("https://klaim.com/contact","klaim.com")</x:f>
        <x:v>HYPERLINK is not implemented. linkLocation=https://klaim.com/contact, friendlyName=klaim.com</x:v>
      </x:c>
      <x:c r="Z62" s="6" t="str">
        <x:v>موقع الجهة أو قناة مرتبطة بها</x:v>
      </x:c>
      <x:c r="AA62" s="6" t="str">
        <x:v>موقع الجهة أو قناة مرتبطة بها</x:v>
      </x:c>
    </x:row>
    <x:row r="63" ht="45" customHeight="1">
      <x:c r="A63" s="10" t="str">
        <x:v>S058</x:v>
      </x:c>
      <x:c r="B63" s="6" t="str">
        <x:v>Lune</x:v>
      </x:c>
      <x:c r="C63" s="6" t="str">
        <x:v>دبي</x:v>
      </x:c>
      <x:c r="D63" s="6" t="str">
        <x:v>تحليل البيانات المالية</x:v>
      </x:c>
      <x:c r="E63" s="6" t="str">
        <x:v>غير متاح في المصادر المراجعة</x:v>
      </x:c>
      <x:c r="F63" s="6" t="str">
        <x:v>Alexandre Soued; Helal Lootah</x:v>
      </x:c>
      <x:c r="G63" s="6" t="str">
        <x:v>hello@lunedata.io</x:v>
      </x:c>
      <x:c r="H63" s="6" t="str">
        <x:v>غير متاح في المصادر المراجعة</x:v>
      </x:c>
      <x:c r="I63" s="6" t="str">
        <x:v>استفسارات عامة</x:v>
      </x:c>
      <x:c r="J63" s="14" t="e">
        <x:f>HYPERLINK("https://lunedata.io","lunedata.io")</x:f>
        <x:v>HYPERLINK is not implemented. linkLocation=https://lunedata.io, friendlyName=lunedata.io</x:v>
      </x:c>
      <x:c r="K63" s="6" t="str">
        <x:v>غير مؤكد من المصادر المراجعة</x:v>
      </x:c>
      <x:c r="L63" s="6" t="str">
        <x:v>غير متاح في المصادر المراجعة</x:v>
      </x:c>
      <x:c r="M63" s="12" t="str">
        <x:v>غير متاح في المصادر المراجعة</x:v>
      </x:c>
      <x:c r="N63" s="6" t="str">
        <x:v>غير متاح في المصادر المراجعة</x:v>
      </x:c>
      <x:c r="O63" s="6" t="str">
        <x:v>لا توجد جولة محددة موثقة ضمن هذه المراجعة</x:v>
      </x:c>
      <x:c r="P63" s="13" t="str">
        <x:v>لم يتم التواصل</x:v>
      </x:c>
      <x:c r="Q63" s="6" t="str">
        <x:v>تأكيد بيانات الشركة واحتياجها للتمويل / المشاركة</x:v>
      </x:c>
      <x:c r="R63" s="6" t="str"/>
      <x:c r="S63" s="11" t="d">
        <x:v>2026-10-22T06:00:00.000Z</x:v>
      </x:c>
      <x:c r="T63" s="14" t="e">
        <x:f>HYPERLINK("https://www.lunedata.io/contact","lunedata.io")</x:f>
        <x:v>HYPERLINK is not implemented. linkLocation=https://www.lunedata.io/contact, friendlyName=lunedata.io</x:v>
      </x:c>
      <x:c r="U63" s="14" t="str">
        <x:v>https://www.flat6labs.com/wp-content/uploads/2022/11/Abu-Dhabi-_-Demo-Day-Printings-Investor-Brief-1.pdf
https://www.linkedin.com/company/lunetechnologies/
https://www.gaebler.com/Funded-Company-890E82AB-BB49-46E4-A2B6-8594C00720FA-Lune-Technologies</x:v>
      </x:c>
      <x:c r="V63" s="14" t="str">
        <x:v>غير متاح في المصادر المراجعة</x:v>
      </x:c>
      <x:c r="W63" s="14" t="e">
        <x:f>HYPERLINK("https://www.lunedata.io/contact","lunedata.io")</x:f>
        <x:v>HYPERLINK is not implemented. linkLocation=https://www.lunedata.io/contact, friendlyName=lunedata.io</x:v>
      </x:c>
      <x:c r="X63" s="14" t="str">
        <x:v>غير متاح في المصادر المراجعة</x:v>
      </x:c>
      <x:c r="Y63" s="14" t="e">
        <x:f>HYPERLINK("https://www.lunedata.io/contact","lunedata.io")</x:f>
        <x:v>HYPERLINK is not implemented. linkLocation=https://www.lunedata.io/contact, friendlyName=lunedata.io</x:v>
      </x:c>
      <x:c r="Z63" s="6" t="str">
        <x:v>موقع الجهة أو قناة مرتبطة بها</x:v>
      </x:c>
      <x:c r="AA63" s="6" t="str">
        <x:v>غير متاح في المصادر المراجعة</x:v>
      </x:c>
    </x:row>
    <x:row r="64" ht="45" customHeight="1">
      <x:c r="A64" s="10" t="str">
        <x:v>S059</x:v>
      </x:c>
      <x:c r="B64" s="6" t="str">
        <x:v>Fortis</x:v>
      </x:c>
      <x:c r="C64" s="6" t="str">
        <x:v>دبي</x:v>
      </x:c>
      <x:c r="D64" s="6" t="str">
        <x:v>تقنية التجزئة</x:v>
      </x:c>
      <x:c r="E64" s="6" t="n">
        <x:v>2022</x:v>
      </x:c>
      <x:c r="F64" s="6" t="str">
        <x:v>غير متاح في المصادر المراجعة</x:v>
      </x:c>
      <x:c r="G64" s="6" t="str">
        <x:v>support@fortis.world</x:v>
      </x:c>
      <x:c r="H64" s="6" t="str">
        <x:v>+971 50 213 4201</x:v>
      </x:c>
      <x:c r="I64" s="6" t="str">
        <x:v>دعم / خدمة عملاء؛ اطلب التحويل</x:v>
      </x:c>
      <x:c r="J64" s="14" t="e">
        <x:f>HYPERLINK("https://wefortis.com","wefortis.com")</x:f>
        <x:v>HYPERLINK is not implemented. linkLocation=https://wefortis.com, friendlyName=wefortis.com</x:v>
      </x:c>
      <x:c r="K64" s="6" t="str">
        <x:v>غير مؤكد من المصادر المراجعة</x:v>
      </x:c>
      <x:c r="L64" s="6" t="str">
        <x:v>غير متاح في المصادر المراجعة</x:v>
      </x:c>
      <x:c r="M64" s="12" t="str">
        <x:v>غير متاح في المصادر المراجعة</x:v>
      </x:c>
      <x:c r="N64" s="6" t="str">
        <x:v>غير متاح في المصادر المراجعة</x:v>
      </x:c>
      <x:c r="O64" s="6" t="str">
        <x:v>لا توجد جولة محددة موثقة ضمن هذه المراجعة</x:v>
      </x:c>
      <x:c r="P64" s="13" t="str">
        <x:v>لم يتم التواصل</x:v>
      </x:c>
      <x:c r="Q64" s="6" t="str">
        <x:v>تأكيد بيانات الشركة واحتياجها للتمويل / المشاركة</x:v>
      </x:c>
      <x:c r="R64" s="6" t="str"/>
      <x:c r="S64" s="11" t="d">
        <x:v>2026-10-22T06:00:00.000Z</x:v>
      </x:c>
      <x:c r="T64" s="14" t="e">
        <x:f>HYPERLINK("https://www.decypha.com/en/company-list/Fortis-Digital-Solutions-DMCC-259824","decypha.com")</x:f>
        <x:v>HYPERLINK is not implemented. linkLocation=https://www.decypha.com/en/company-list/Fortis-Digital-Solutions-DMCC-259824, friendlyName=decypha.com</x:v>
      </x:c>
      <x:c r="U64" s="14" t="str">
        <x:v>غير متاح في المصادر المراجعة</x:v>
      </x:c>
      <x:c r="V64" s="14" t="str">
        <x:v>غير متاح في المصادر المراجعة</x:v>
      </x:c>
      <x:c r="W64" s="14" t="e">
        <x:f>HYPERLINK("https://www.wefortis.com/contact","wefortis.com")</x:f>
        <x:v>HYPERLINK is not implemented. linkLocation=https://www.wefortis.com/contact, friendlyName=wefortis.com</x:v>
      </x:c>
      <x:c r="X64" s="14" t="e">
        <x:f>HYPERLINK("https://www.wefortis.com/legal/terms-and-conditions","wefortis.com")</x:f>
        <x:v>HYPERLINK is not implemented. linkLocation=https://www.wefortis.com/legal/terms-and-conditions, friendlyName=wefortis.com</x:v>
      </x:c>
      <x:c r="Y64" s="14" t="e">
        <x:f>HYPERLINK("https://www.wefortis.com/contact","wefortis.com")</x:f>
        <x:v>HYPERLINK is not implemented. linkLocation=https://www.wefortis.com/contact, friendlyName=wefortis.com</x:v>
      </x:c>
      <x:c r="Z64" s="6" t="str">
        <x:v>موقع الجهة أو قناة مرتبطة بها</x:v>
      </x:c>
      <x:c r="AA64" s="6" t="str">
        <x:v>موقع الجهة أو قناة مرتبطة بها</x:v>
      </x:c>
    </x:row>
    <x:row r="65" ht="45" customHeight="1">
      <x:c r="A65" s="10" t="str">
        <x:v>S060</x:v>
      </x:c>
      <x:c r="B65" s="6" t="str">
        <x:v>iFarm</x:v>
      </x:c>
      <x:c r="C65" s="6" t="str">
        <x:v>أبوظبي</x:v>
      </x:c>
      <x:c r="D65" s="6" t="str">
        <x:v>التقنية الزراعية</x:v>
      </x:c>
      <x:c r="E65" s="6" t="str">
        <x:v>غير متاح في المصادر المراجعة</x:v>
      </x:c>
      <x:c r="F65" s="6" t="str">
        <x:v>غير متاح في المصادر المراجعة</x:v>
      </x:c>
      <x:c r="G65" s="6" t="str">
        <x:v>sales@ifarm.fi</x:v>
      </x:c>
      <x:c r="H65" s="6" t="str">
        <x:v>غير متاح في المصادر المراجعة</x:v>
      </x:c>
      <x:c r="I65" s="6" t="str">
        <x:v>أعمال / مبيعات / تمويل</x:v>
      </x:c>
      <x:c r="J65" s="14" t="e">
        <x:f>HYPERLINK("https://ifarm.fi","ifarm.fi")</x:f>
        <x:v>HYPERLINK is not implemented. linkLocation=https://ifarm.fi, friendlyName=ifarm.fi</x:v>
      </x:c>
      <x:c r="K65" s="6" t="str">
        <x:v>غير مؤكد من المصادر المراجعة</x:v>
      </x:c>
      <x:c r="L65" s="6" t="str">
        <x:v>غير متاح في المصادر المراجعة</x:v>
      </x:c>
      <x:c r="M65" s="12" t="str">
        <x:v>غير متاح في المصادر المراجعة</x:v>
      </x:c>
      <x:c r="N65" s="6" t="str">
        <x:v>غير متاح في المصادر المراجعة</x:v>
      </x:c>
      <x:c r="O65" s="6" t="str">
        <x:v>لا توجد جولة محددة موثقة ضمن هذه المراجعة</x:v>
      </x:c>
      <x:c r="P65" s="13" t="str">
        <x:v>لم يتم التواصل</x:v>
      </x:c>
      <x:c r="Q65" s="6" t="str">
        <x:v>تأكيد بيانات الشركة واحتياجها للتمويل / المشاركة</x:v>
      </x:c>
      <x:c r="R65" s="6" t="str"/>
      <x:c r="S65" s="11" t="d">
        <x:v>2026-10-22T06:00:00.000Z</x:v>
      </x:c>
      <x:c r="T65" s="14" t="e">
        <x:f>HYPERLINK("https://www.hub71.com/startups/ifarm","hub71.com")</x:f>
        <x:v>HYPERLINK is not implemented. linkLocation=https://www.hub71.com/startups/ifarm, friendlyName=hub71.com</x:v>
      </x:c>
      <x:c r="U65" s="14" t="str">
        <x:v>غير متاح في المصادر المراجعة</x:v>
      </x:c>
      <x:c r="V65" s="14" t="str">
        <x:v>غير متاح في المصادر المراجعة</x:v>
      </x:c>
      <x:c r="W65" s="14" t="e">
        <x:f>HYPERLINK("https://www.crunchbase.com/organization/ifarm-project","crunchbase.com")</x:f>
        <x:v>HYPERLINK is not implemented. linkLocation=https://www.crunchbase.com/organization/ifarm-project, friendlyName=crunchbase.com</x:v>
      </x:c>
      <x:c r="X65" s="14" t="str">
        <x:v>غير متاح في المصادر المراجعة</x:v>
      </x:c>
      <x:c r="Y65" s="14" t="e">
        <x:f>HYPERLINK("https://www.hub71.com/startups/ifarm","hub71.com")</x:f>
        <x:v>HYPERLINK is not implemented. linkLocation=https://www.hub71.com/startups/ifarm, friendlyName=hub71.com</x:v>
      </x:c>
      <x:c r="Z65" s="6" t="str">
        <x:v>مصدر ثانوي؛ يلزم تأكيد مباشر</x:v>
      </x:c>
      <x:c r="AA65" s="6" t="str">
        <x:v>غير متاح في المصادر المراجعة</x:v>
      </x:c>
    </x:row>
    <x:row r="66" ht="45" customHeight="1">
      <x:c r="A66" s="10" t="str">
        <x:v>S061</x:v>
      </x:c>
      <x:c r="B66" s="6" t="str">
        <x:v>Pure Harvest Smart Farms</x:v>
      </x:c>
      <x:c r="C66" s="6" t="str">
        <x:v>أبوظبي</x:v>
      </x:c>
      <x:c r="D66" s="6" t="str">
        <x:v>الزراعة الذكية</x:v>
      </x:c>
      <x:c r="E66" s="6" t="n">
        <x:v>2016</x:v>
      </x:c>
      <x:c r="F66" s="6" t="str">
        <x:v>Robert Kupstas</x:v>
      </x:c>
      <x:c r="G66" s="6" t="str">
        <x:v>info@pureharvestfarms.com</x:v>
      </x:c>
      <x:c r="H66" s="6" t="str">
        <x:v>غير متاح في المصادر المراجعة</x:v>
      </x:c>
      <x:c r="I66" s="6" t="str">
        <x:v>استفسارات عامة</x:v>
      </x:c>
      <x:c r="J66" s="14" t="e">
        <x:f>HYPERLINK("https://pureharvestfarms.com","pureharvestfarms.com")</x:f>
        <x:v>HYPERLINK is not implemented. linkLocation=https://pureharvestfarms.com, friendlyName=pureharvestfarms.com</x:v>
      </x:c>
      <x:c r="K66" s="6" t="str">
        <x:v>غير مؤكد من المصادر المراجعة</x:v>
      </x:c>
      <x:c r="L66" s="6" t="str">
        <x:v>غير متاح في المصادر المراجعة</x:v>
      </x:c>
      <x:c r="M66" s="12" t="str">
        <x:v>غير متاح في المصادر المراجعة</x:v>
      </x:c>
      <x:c r="N66" s="6" t="str">
        <x:v>غير متاح في المصادر المراجعة</x:v>
      </x:c>
      <x:c r="O66" s="6" t="str">
        <x:v>لا توجد جولة محددة موثقة ضمن هذه المراجعة</x:v>
      </x:c>
      <x:c r="P66" s="13" t="str">
        <x:v>لم يتم التواصل</x:v>
      </x:c>
      <x:c r="Q66" s="6" t="str">
        <x:v>تأكيد بيانات الشركة واحتياجها للتمويل / المشاركة</x:v>
      </x:c>
      <x:c r="R66" s="6" t="str"/>
      <x:c r="S66" s="11" t="d">
        <x:v>2026-10-22T06:00:00.000Z</x:v>
      </x:c>
      <x:c r="T66" s="14" t="e">
        <x:f>HYPERLINK("https://www.internationalblueberry.org/assets/uploads/2020/01/United-Arab-Emitares-report-JAN.2020.pdf","internationalblueberry.org")</x:f>
        <x:v>HYPERLINK is not implemented. linkLocation=https://www.internationalblueberry.org/assets/uploads/2020/01/United-Arab-Emitares-report-JAN.2020.pdf, friendlyName=internationalblueberry.org</x:v>
      </x:c>
      <x:c r="U66" s="14" t="str">
        <x:v>https://techcrunch.com/startup-battlefield/company/pure-harvest-smart-farms/
https://www.forbesmiddleeast.com/lists/10-sustainable-startups-in-the-middle-east/pure-harvest-smart-farms/
https://www.forbesmiddleeast.com/lists/the-middle-easts-50-most-funded-startups/pure-harvest-smart-farms/</x:v>
      </x:c>
      <x:c r="V66" s="14" t="str">
        <x:v>غير متاح في المصادر المراجعة</x:v>
      </x:c>
      <x:c r="W66" s="14" t="e">
        <x:f>HYPERLINK("https://www.pureharvestfarms.com/terms-and-conditions","pureharvestfarms.com")</x:f>
        <x:v>HYPERLINK is not implemented. linkLocation=https://www.pureharvestfarms.com/terms-and-conditions, friendlyName=pureharvestfarms.com</x:v>
      </x:c>
      <x:c r="X66" s="14" t="str">
        <x:v>غير متاح في المصادر المراجعة</x:v>
      </x:c>
      <x:c r="Y66" s="14" t="e">
        <x:f>HYPERLINK("https://pureharvestfarms.com/investors","pureharvestfarms.com")</x:f>
        <x:v>HYPERLINK is not implemented. linkLocation=https://pureharvestfarms.com/investors, friendlyName=pureharvestfarms.com</x:v>
      </x:c>
      <x:c r="Z66" s="6" t="str">
        <x:v>موقع الجهة أو قناة مرتبطة بها</x:v>
      </x:c>
      <x:c r="AA66" s="6" t="str">
        <x:v>غير متاح في المصادر المراجعة</x:v>
      </x:c>
    </x:row>
    <x:row r="67" ht="45" customHeight="1">
      <x:c r="A67" s="10" t="str">
        <x:v>S062</x:v>
      </x:c>
      <x:c r="B67" s="6" t="str">
        <x:v>Madar Farms</x:v>
      </x:c>
      <x:c r="C67" s="6" t="str">
        <x:v>دبي</x:v>
      </x:c>
      <x:c r="D67" s="6" t="str">
        <x:v>الزراعة الذكية</x:v>
      </x:c>
      <x:c r="E67" s="6" t="str">
        <x:v>غير متاح في المصادر المراجعة</x:v>
      </x:c>
      <x:c r="F67" s="6" t="str">
        <x:v>غير متاح في المصادر المراجعة</x:v>
      </x:c>
      <x:c r="G67" s="6" t="str">
        <x:v>info@madarfarms.co</x:v>
      </x:c>
      <x:c r="H67" s="6" t="str">
        <x:v>+971 4 331 1908</x:v>
      </x:c>
      <x:c r="I67" s="6" t="str">
        <x:v>استفسارات عامة</x:v>
      </x:c>
      <x:c r="J67" s="14" t="e">
        <x:f>HYPERLINK("https://madarfarms.co","madarfarms.co")</x:f>
        <x:v>HYPERLINK is not implemented. linkLocation=https://madarfarms.co, friendlyName=madarfarms.co</x:v>
      </x:c>
      <x:c r="K67" s="6" t="str">
        <x:v>غير مؤكد من المصادر المراجعة</x:v>
      </x:c>
      <x:c r="L67" s="6" t="str">
        <x:v>غير متاح في المصادر المراجعة</x:v>
      </x:c>
      <x:c r="M67" s="12" t="str">
        <x:v>غير متاح في المصادر المراجعة</x:v>
      </x:c>
      <x:c r="N67" s="6" t="str">
        <x:v>غير متاح في المصادر المراجعة</x:v>
      </x:c>
      <x:c r="O67" s="6" t="str">
        <x:v>لا توجد جولة محددة موثقة ضمن هذه المراجعة</x:v>
      </x:c>
      <x:c r="P67" s="13" t="str">
        <x:v>لم يتم التواصل</x:v>
      </x:c>
      <x:c r="Q67" s="6" t="str">
        <x:v>تأكيد بيانات الشركة واحتياجها للتمويل / المشاركة</x:v>
      </x:c>
      <x:c r="R67" s="6" t="str"/>
      <x:c r="S67" s="11" t="d">
        <x:v>2026-10-22T06:00:00.000Z</x:v>
      </x:c>
      <x:c r="T67" s="14" t="e">
        <x:f>HYPERLINK("https://www.yello.ae/company/366871/madar-farms","yello.ae")</x:f>
        <x:v>HYPERLINK is not implemented. linkLocation=https://www.yello.ae/company/366871/madar-farms, friendlyName=yello.ae</x:v>
      </x:c>
      <x:c r="U67" s="14" t="str">
        <x:v>غير متاح في المصادر المراجعة</x:v>
      </x:c>
      <x:c r="V67" s="14" t="str">
        <x:v>غير متاح في المصادر المراجعة</x:v>
      </x:c>
      <x:c r="W67" s="14" t="e">
        <x:f>HYPERLINK("https://www.crunchbase.com/organization/madar-farms","crunchbase.com")</x:f>
        <x:v>HYPERLINK is not implemented. linkLocation=https://www.crunchbase.com/organization/madar-farms, friendlyName=crunchbase.com</x:v>
      </x:c>
      <x:c r="X67" s="14" t="e">
        <x:f>HYPERLINK("https://www.crunchbase.com/organization/madar-farms","crunchbase.com")</x:f>
        <x:v>HYPERLINK is not implemented. linkLocation=https://www.crunchbase.com/organization/madar-farms, friendlyName=crunchbase.com</x:v>
      </x:c>
      <x:c r="Y67" s="14" t="e">
        <x:f>HYPERLINK("https://www.yello.ae/company/366871/madar-farms","yello.ae")</x:f>
        <x:v>HYPERLINK is not implemented. linkLocation=https://www.yello.ae/company/366871/madar-farms, friendlyName=yello.ae</x:v>
      </x:c>
      <x:c r="Z67" s="6" t="str">
        <x:v>مصدر ثانوي؛ يلزم تأكيد مباشر</x:v>
      </x:c>
      <x:c r="AA67" s="6" t="str">
        <x:v>مصدر ثانوي؛ يلزم تأكيد مباشر</x:v>
      </x:c>
    </x:row>
    <x:row r="68" ht="45" customHeight="1">
      <x:c r="A68" s="10" t="str">
        <x:v>S063</x:v>
      </x:c>
      <x:c r="B68" s="6" t="str">
        <x:v>MoneyHash</x:v>
      </x:c>
      <x:c r="C68" s="6" t="str">
        <x:v>دبي</x:v>
      </x:c>
      <x:c r="D68" s="6" t="str">
        <x:v>البنية التحتية للمدفوعات</x:v>
      </x:c>
      <x:c r="E68" s="6" t="n">
        <x:v>2020</x:v>
      </x:c>
      <x:c r="F68" s="6" t="str">
        <x:v>Nader Abdelrazik; Mustafa Eid; Anisha Sekar</x:v>
      </x:c>
      <x:c r="G68" s="6" t="str">
        <x:v>partners@moneyhash.io</x:v>
      </x:c>
      <x:c r="H68" s="6" t="str">
        <x:v>غير متاح في المصادر المراجعة</x:v>
      </x:c>
      <x:c r="I68" s="6" t="str">
        <x:v>شراكات / استفسارات أعمال</x:v>
      </x:c>
      <x:c r="J68" s="14" t="e">
        <x:f>HYPERLINK("https://moneyhash.io","moneyhash.io")</x:f>
        <x:v>HYPERLINK is not implemented. linkLocation=https://moneyhash.io, friendlyName=moneyhash.io</x:v>
      </x:c>
      <x:c r="K68" s="6" t="str">
        <x:v>غير مؤكد من المصادر المراجعة</x:v>
      </x:c>
      <x:c r="L68" s="6" t="str">
        <x:v>Pre-Seed</x:v>
      </x:c>
      <x:c r="M68" s="12" t="str">
        <x:v>غير متاح في المصادر المراجعة</x:v>
      </x:c>
      <x:c r="N68" s="6" t="str">
        <x:v>غير متاح في المصادر المراجعة</x:v>
      </x:c>
      <x:c r="O68" s="6" t="str">
        <x:v>قيمة من ستة أرقام دون رقم محدد</x:v>
      </x:c>
      <x:c r="P68" s="13" t="str">
        <x:v>لم يتم التواصل</x:v>
      </x:c>
      <x:c r="Q68" s="6" t="str">
        <x:v>تأكيد بيانات الشركة واحتياجها للتمويل / المشاركة</x:v>
      </x:c>
      <x:c r="R68" s="6" t="str"/>
      <x:c r="S68" s="11" t="d">
        <x:v>2026-10-22T06:00:00.000Z</x:v>
      </x:c>
      <x:c r="T68" s="14" t="e">
        <x:f>HYPERLINK("https://app.money2020middleeast.com/event/money20-20-middle-east-2026/exhibitor/RXhoaWJpdG9yXzI1MjA5MTA%3D","app.money2020middleeast.com")</x:f>
        <x:v>HYPERLINK is not implemented. linkLocation=https://app.money2020middleeast.com/event/money20-20-middle-east-2026/exhibitor/RXhoaWJpdG9yXzI1MjA5MTA%3D, friendlyName=app.money2020middleeast.com</x:v>
      </x:c>
      <x:c r="U68" s="14" t="str">
        <x:v>https://moneyhash.io/blog/moneyhash-named-a-uae-future-100-recognized-for-driving-innovation-in-the-payments-sector
https://www.crunchbase.com/organization/moneyhash
https://moneyhash.io/blog/moneyhash-seed-fundraising-announcement</x:v>
      </x:c>
      <x:c r="V68" s="14" t="e">
        <x:f>HYPERLINK("https://moneyhash.io/blog/news-moneyhash-raises-six-figures","moneyhash.io")</x:f>
        <x:v>HYPERLINK is not implemented. linkLocation=https://moneyhash.io/blog/news-moneyhash-raises-six-figures, friendlyName=moneyhash.io</x:v>
      </x:c>
      <x:c r="W68" s="14" t="e">
        <x:f>HYPERLINK("https://moneyhash.io/?trk=public_post_main-feed-card_reshare-text","moneyhash.io")</x:f>
        <x:v>HYPERLINK is not implemented. linkLocation=https://moneyhash.io/?trk=public_post_main-feed-card_reshare-text, friendlyName=moneyhash.io</x:v>
      </x:c>
      <x:c r="X68" s="14" t="str">
        <x:v>غير متاح في المصادر المراجعة</x:v>
      </x:c>
      <x:c r="Y68" s="14" t="e">
        <x:f>HYPERLINK("https://www.moneyhash.io/","moneyhash.io")</x:f>
        <x:v>HYPERLINK is not implemented. linkLocation=https://www.moneyhash.io/, friendlyName=moneyhash.io</x:v>
      </x:c>
      <x:c r="Z68" s="6" t="str">
        <x:v>موقع الجهة أو قناة مرتبطة بها</x:v>
      </x:c>
      <x:c r="AA68" s="6" t="str">
        <x:v>غير متاح في المصادر المراجعة</x:v>
      </x:c>
    </x:row>
    <x:row r="69" ht="45" customHeight="1">
      <x:c r="A69" s="10" t="str">
        <x:v>S064</x:v>
      </x:c>
      <x:c r="B69" s="6" t="str">
        <x:v>Dukkantek</x:v>
      </x:c>
      <x:c r="C69" s="6" t="str">
        <x:v>دبي</x:v>
      </x:c>
      <x:c r="D69" s="6" t="str">
        <x:v>تقنية التجزئة</x:v>
      </x:c>
      <x:c r="E69" s="6" t="n">
        <x:v>2021</x:v>
      </x:c>
      <x:c r="F69" s="6" t="str">
        <x:v>غير متاح في المصادر المراجعة</x:v>
      </x:c>
      <x:c r="G69" s="6" t="str">
        <x:v>contact@dukkantek.com</x:v>
      </x:c>
      <x:c r="H69" s="6" t="str">
        <x:v>+971 4 565 6723</x:v>
      </x:c>
      <x:c r="I69" s="6" t="str">
        <x:v>استفسارات عامة</x:v>
      </x:c>
      <x:c r="J69" s="14" t="e">
        <x:f>HYPERLINK("https://dukkantek.com","dukkantek.com")</x:f>
        <x:v>HYPERLINK is not implemented. linkLocation=https://dukkantek.com, friendlyName=dukkantek.com</x:v>
      </x:c>
      <x:c r="K69" s="6" t="str">
        <x:v>غير مؤكد من المصادر المراجعة</x:v>
      </x:c>
      <x:c r="L69" s="6" t="str">
        <x:v>جولة تمويل</x:v>
      </x:c>
      <x:c r="M69" s="12" t="n">
        <x:v>5200000</x:v>
      </x:c>
      <x:c r="N69" s="6" t="str">
        <x:v>2022-03-08</x:v>
      </x:c>
      <x:c r="O69" s="6" t="str">
        <x:v>جولة تاريخية</x:v>
      </x:c>
      <x:c r="P69" s="13" t="str">
        <x:v>لم يتم التواصل</x:v>
      </x:c>
      <x:c r="Q69" s="6" t="str">
        <x:v>تأكيد بيانات الشركة واحتياجها للتمويل / المشاركة</x:v>
      </x:c>
      <x:c r="R69" s="6" t="str"/>
      <x:c r="S69" s="11" t="d">
        <x:v>2026-10-22T06:00:00.000Z</x:v>
      </x:c>
      <x:c r="T69" s="14" t="e">
        <x:f>HYPERLINK("https://www.yello.ae/company/368055/dukkantek","yello.ae")</x:f>
        <x:v>HYPERLINK is not implemented. linkLocation=https://www.yello.ae/company/368055/dukkantek, friendlyName=yello.ae</x:v>
      </x:c>
      <x:c r="U69" s="14" t="str">
        <x:v>غير متاح في المصادر المراجعة</x:v>
      </x:c>
      <x:c r="V69" s="14" t="e">
        <x:f>HYPERLINK("https://www.thenationalnews.com/business/2022/03/08/uae-tech-start-up-dukkantek-raises-52-million/","thenationalnews.com")</x:f>
        <x:v>HYPERLINK is not implemented. linkLocation=https://www.thenationalnews.com/business/2022/03/08/uae-tech-start-up-dukkantek-raises-52-million/, friendlyName=thenationalnews.com</x:v>
      </x:c>
      <x:c r="W69" s="14" t="e">
        <x:f>HYPERLINK("https://play.google.com/store/apps/details?hl=en&amp;id=com.dukkantek.bestprice","play.google.com")</x:f>
        <x:v>HYPERLINK is not implemented. linkLocation=https://play.google.com/store/apps/details?hl=en&amp;id=com.dukkantek.bestprice, friendlyName=play.google.com</x:v>
      </x:c>
      <x:c r="X69" s="14" t="e">
        <x:f>HYPERLINK("https://www.yello.ae/company/368055/dukkantek","yello.ae")</x:f>
        <x:v>HYPERLINK is not implemented. linkLocation=https://www.yello.ae/company/368055/dukkantek, friendlyName=yello.ae</x:v>
      </x:c>
      <x:c r="Y69" s="14" t="e">
        <x:f>HYPERLINK("https://www.yello.ae/company/368055/dukkantek","yello.ae")</x:f>
        <x:v>HYPERLINK is not implemented. linkLocation=https://www.yello.ae/company/368055/dukkantek, friendlyName=yello.ae</x:v>
      </x:c>
      <x:c r="Z69" s="6" t="str">
        <x:v>قائمة تطبيق ينشرها المطور</x:v>
      </x:c>
      <x:c r="AA69" s="6" t="str">
        <x:v>مصدر ثانوي؛ يلزم تأكيد مباشر</x:v>
      </x:c>
    </x:row>
    <x:row r="70" ht="45" customHeight="1">
      <x:c r="A70" s="10" t="str">
        <x:v>S065</x:v>
      </x:c>
      <x:c r="B70" s="6" t="str">
        <x:v>Supy</x:v>
      </x:c>
      <x:c r="C70" s="6" t="str">
        <x:v>دبي</x:v>
      </x:c>
      <x:c r="D70" s="6" t="str">
        <x:v>تقنية المطاعم</x:v>
      </x:c>
      <x:c r="E70" s="6" t="str">
        <x:v>غير متاح في المصادر المراجعة</x:v>
      </x:c>
      <x:c r="F70" s="6" t="str">
        <x:v>Ibrahim Bou Ncoula</x:v>
      </x:c>
      <x:c r="G70" s="6" t="str">
        <x:v>sales@supy.io</x:v>
      </x:c>
      <x:c r="H70" s="6" t="str">
        <x:v>+971 58 826 0597</x:v>
      </x:c>
      <x:c r="I70" s="6" t="str">
        <x:v>أعمال / مبيعات / تمويل</x:v>
      </x:c>
      <x:c r="J70" s="14" t="e">
        <x:f>HYPERLINK("https://supy.io","supy.io")</x:f>
        <x:v>HYPERLINK is not implemented. linkLocation=https://supy.io, friendlyName=supy.io</x:v>
      </x:c>
      <x:c r="K70" s="6" t="str">
        <x:v>غير مؤكد من المصادر المراجعة</x:v>
      </x:c>
      <x:c r="L70" s="6" t="str">
        <x:v>Pre-Seed</x:v>
      </x:c>
      <x:c r="M70" s="12" t="n">
        <x:v>1500000</x:v>
      </x:c>
      <x:c r="N70" s="6" t="str">
        <x:v>2021-09-15</x:v>
      </x:c>
      <x:c r="O70" s="6" t="str">
        <x:v>جولة تاريخية</x:v>
      </x:c>
      <x:c r="P70" s="13" t="str">
        <x:v>لم يتم التواصل</x:v>
      </x:c>
      <x:c r="Q70" s="6" t="str">
        <x:v>تأكيد بيانات الشركة واحتياجها للتمويل / المشاركة</x:v>
      </x:c>
      <x:c r="R70" s="6" t="str"/>
      <x:c r="S70" s="11" t="d">
        <x:v>2026-10-22T06:00:00.000Z</x:v>
      </x:c>
      <x:c r="T70" s="14" t="e">
        <x:f>HYPERLINK("https://supy.io/contact-us","supy.io")</x:f>
        <x:v>HYPERLINK is not implemented. linkLocation=https://supy.io/contact-us, friendlyName=supy.io</x:v>
      </x:c>
      <x:c r="U70" s="14" t="str">
        <x:v>https://www.wamda.com/2021/09/supy-raises-15-million-pre-seed-round
https://www.wamda.com/index.php/en/2022/07/supy-raises-8-million-seed-round
https://www.crunchbase.com/organization/supy-187e</x:v>
      </x:c>
      <x:c r="V70" s="14" t="e">
        <x:f>HYPERLINK("https://www.wamda.com/2021/09/supy-raises-15-million-pre-seed-round","wamda.com")</x:f>
        <x:v>HYPERLINK is not implemented. linkLocation=https://www.wamda.com/2021/09/supy-raises-15-million-pre-seed-round, friendlyName=wamda.com</x:v>
      </x:c>
      <x:c r="W70" s="14" t="e">
        <x:f>HYPERLINK("https://supy.io/contact-us","supy.io")</x:f>
        <x:v>HYPERLINK is not implemented. linkLocation=https://supy.io/contact-us, friendlyName=supy.io</x:v>
      </x:c>
      <x:c r="X70" s="14" t="e">
        <x:f>HYPERLINK("https://help.foodics.com/hc/en-us/articles/7487351748764-Supy","help.foodics.com")</x:f>
        <x:v>HYPERLINK is not implemented. linkLocation=https://help.foodics.com/hc/en-us/articles/7487351748764-Supy, friendlyName=help.foodics.com</x:v>
      </x:c>
      <x:c r="Y70" s="14" t="e">
        <x:f>HYPERLINK("https://supy.io/contact-us","supy.io")</x:f>
        <x:v>HYPERLINK is not implemented. linkLocation=https://supy.io/contact-us, friendlyName=supy.io</x:v>
      </x:c>
      <x:c r="Z70" s="6" t="str">
        <x:v>موقع الجهة أو قناة مرتبطة بها</x:v>
      </x:c>
      <x:c r="AA70" s="6" t="str">
        <x:v>موقع الجهة أو قناة مرتبطة بها</x:v>
      </x:c>
    </x:row>
    <x:row r="71" ht="45" customHeight="1">
      <x:c r="A71" s="10" t="str">
        <x:v>S066</x:v>
      </x:c>
      <x:c r="B71" s="6" t="str">
        <x:v>Grubtech</x:v>
      </x:c>
      <x:c r="C71" s="6" t="str">
        <x:v>دبي</x:v>
      </x:c>
      <x:c r="D71" s="6" t="str">
        <x:v>تقنية المطاعم</x:v>
      </x:c>
      <x:c r="E71" s="6" t="n">
        <x:v>2019</x:v>
      </x:c>
      <x:c r="F71" s="6" t="str">
        <x:v>غير متاح في المصادر المراجعة</x:v>
      </x:c>
      <x:c r="G71" s="6" t="str">
        <x:v>uae@grubtech.com</x:v>
      </x:c>
      <x:c r="H71" s="6" t="str">
        <x:v>غير متاح في المصادر المراجعة</x:v>
      </x:c>
      <x:c r="I71" s="6" t="str">
        <x:v>استفسارات عامة</x:v>
      </x:c>
      <x:c r="J71" s="14" t="e">
        <x:f>HYPERLINK("https://grubtech.com","grubtech.com")</x:f>
        <x:v>HYPERLINK is not implemented. linkLocation=https://grubtech.com, friendlyName=grubtech.com</x:v>
      </x:c>
      <x:c r="K71" s="6" t="str">
        <x:v>غير مؤكد من المصادر المراجعة</x:v>
      </x:c>
      <x:c r="L71" s="6" t="str">
        <x:v>Series B وامتداد Series A</x:v>
      </x:c>
      <x:c r="M71" s="12" t="n">
        <x:v>15000000</x:v>
      </x:c>
      <x:c r="N71" s="6" t="str">
        <x:v>2024-05-28</x:v>
      </x:c>
      <x:c r="O71" s="6" t="str">
        <x:v>قيمة مشتركة كما وردت في الإعلان</x:v>
      </x:c>
      <x:c r="P71" s="13" t="str">
        <x:v>لم يتم التواصل</x:v>
      </x:c>
      <x:c r="Q71" s="6" t="str">
        <x:v>تأكيد بيانات الشركة واحتياجها للتمويل / المشاركة</x:v>
      </x:c>
      <x:c r="R71" s="6" t="str"/>
      <x:c r="S71" s="11" t="d">
        <x:v>2026-10-22T06:00:00.000Z</x:v>
      </x:c>
      <x:c r="T71" s="14" t="e">
        <x:f>HYPERLINK("https://www.doe.gov.ae/-/media/Project/ADCCI/ADCCI/Media-Center---Publications/Business-Voice/2021/bvjan2022en.pdf","doe.gov.ae")</x:f>
        <x:v>HYPERLINK is not implemented. linkLocation=https://www.doe.gov.ae/-/media/Project/ADCCI/ADCCI/Media-Center---Publications/Business-Voice/2021/bvjan2022en.pdf, friendlyName=doe.gov.ae</x:v>
      </x:c>
      <x:c r="U71" s="14" t="str">
        <x:v>غير متاح في المصادر المراجعة</x:v>
      </x:c>
      <x:c r="V71" s="14" t="e">
        <x:f>HYPERLINK("https://www.prnewswire.com/news-releases/grubtech-raises-15-million-302155197.html","prnewswire.com")</x:f>
        <x:v>HYPERLINK is not implemented. linkLocation=https://www.prnewswire.com/news-releases/grubtech-raises-15-million-302155197.html, friendlyName=prnewswire.com</x:v>
      </x:c>
      <x:c r="W71" s="14" t="e">
        <x:f>HYPERLINK("https://grubtech.com/en/connect-with-us","grubtech.com")</x:f>
        <x:v>HYPERLINK is not implemented. linkLocation=https://grubtech.com/en/connect-with-us, friendlyName=grubtech.com</x:v>
      </x:c>
      <x:c r="X71" s="14" t="str">
        <x:v>غير متاح في المصادر المراجعة</x:v>
      </x:c>
      <x:c r="Y71" s="14" t="e">
        <x:f>HYPERLINK("https://grubtech.com/en/connect-with-us","grubtech.com")</x:f>
        <x:v>HYPERLINK is not implemented. linkLocation=https://grubtech.com/en/connect-with-us, friendlyName=grubtech.com</x:v>
      </x:c>
      <x:c r="Z71" s="6" t="str">
        <x:v>موقع الجهة أو قناة مرتبطة بها</x:v>
      </x:c>
      <x:c r="AA71" s="6" t="str">
        <x:v>غير متاح في المصادر المراجعة</x:v>
      </x:c>
    </x:row>
    <x:row r="72" ht="45" customHeight="1">
      <x:c r="A72" s="10" t="str">
        <x:v>S067</x:v>
      </x:c>
      <x:c r="B72" s="6" t="str">
        <x:v>Zbooni</x:v>
      </x:c>
      <x:c r="C72" s="6" t="str">
        <x:v>دبي</x:v>
      </x:c>
      <x:c r="D72" s="6" t="str">
        <x:v>التجارة الرقمية</x:v>
      </x:c>
      <x:c r="E72" s="6" t="n">
        <x:v>2017</x:v>
      </x:c>
      <x:c r="F72" s="6" t="str">
        <x:v>Ramy Assaf</x:v>
      </x:c>
      <x:c r="G72" s="6" t="str">
        <x:v>hello@zbooni.com</x:v>
      </x:c>
      <x:c r="H72" s="6" t="str">
        <x:v>+971 4 557 9133</x:v>
      </x:c>
      <x:c r="I72" s="6" t="str">
        <x:v>استفسارات عامة</x:v>
      </x:c>
      <x:c r="J72" s="14" t="e">
        <x:f>HYPERLINK("https://zbooni.com","zbooni.com")</x:f>
        <x:v>HYPERLINK is not implemented. linkLocation=https://zbooni.com, friendlyName=zbooni.com</x:v>
      </x:c>
      <x:c r="K72" s="6" t="str">
        <x:v>غير مؤكد من المصادر المراجعة</x:v>
      </x:c>
      <x:c r="L72" s="6" t="str">
        <x:v>جولة تمويل</x:v>
      </x:c>
      <x:c r="M72" s="12" t="n">
        <x:v>1100000</x:v>
      </x:c>
      <x:c r="N72" s="6" t="str">
        <x:v>2019</x:v>
      </x:c>
      <x:c r="O72" s="6" t="str">
        <x:v>جولة تاريخية</x:v>
      </x:c>
      <x:c r="P72" s="13" t="str">
        <x:v>لم يتم التواصل</x:v>
      </x:c>
      <x:c r="Q72" s="6" t="str">
        <x:v>تأكيد بيانات الشركة واحتياجها للتمويل / المشاركة</x:v>
      </x:c>
      <x:c r="R72" s="6" t="str"/>
      <x:c r="S72" s="11" t="d">
        <x:v>2026-10-22T06:00:00.000Z</x:v>
      </x:c>
      <x:c r="T72" s="14" t="e">
        <x:f>HYPERLINK("https://www.thenationalnews.com/business/technology/uae-e-commerce-app-zbooni-raises-1-1m-to-fund-expansion-1.876415","thenationalnews.com")</x:f>
        <x:v>HYPERLINK is not implemented. linkLocation=https://www.thenationalnews.com/business/technology/uae-e-commerce-app-zbooni-raises-1-1m-to-fund-expansion-1.876415, friendlyName=thenationalnews.com</x:v>
      </x:c>
      <x:c r="U72" s="14" t="str">
        <x:v>https://www.thenationalnews.com/business/technology/uae-e-commerce-app-zbooni-raises-1-1m-to-fund-expansion-1.876415
https://www.thenationalnews.com/business/technology/uae-tech-start-up-zbooni-raises-5m-to-fund-expansion-1.1153944
https://www.wamda.com/index.php/en/2021/09/zbooni-closes-95-million-series-round</x:v>
      </x:c>
      <x:c r="V72" s="14" t="e">
        <x:f>HYPERLINK("https://www.thenationalnews.com/business/technology/uae-e-commerce-app-zbooni-raises-1-1m-to-fund-expansion-1.876415","thenationalnews.com")</x:f>
        <x:v>HYPERLINK is not implemented. linkLocation=https://www.thenationalnews.com/business/technology/uae-e-commerce-app-zbooni-raises-1-1m-to-fund-expansion-1.876415, friendlyName=thenationalnews.com</x:v>
      </x:c>
      <x:c r="W72" s="14" t="e">
        <x:f>HYPERLINK("https://support.zbooni.com/","support.zbooni.com")</x:f>
        <x:v>HYPERLINK is not implemented. linkLocation=https://support.zbooni.com/, friendlyName=support.zbooni.com</x:v>
      </x:c>
      <x:c r="X72" s="14" t="e">
        <x:f>HYPERLINK("https://www.zbooni.com/about-us/","zbooni.com")</x:f>
        <x:v>HYPERLINK is not implemented. linkLocation=https://www.zbooni.com/about-us/, friendlyName=zbooni.com</x:v>
      </x:c>
      <x:c r="Y72" s="14" t="e">
        <x:f>HYPERLINK("https://support.zbooni.com/","support.zbooni.com")</x:f>
        <x:v>HYPERLINK is not implemented. linkLocation=https://support.zbooni.com/, friendlyName=support.zbooni.com</x:v>
      </x:c>
      <x:c r="Z72" s="6" t="str">
        <x:v>موقع الجهة أو قناة مرتبطة بها</x:v>
      </x:c>
      <x:c r="AA72" s="6" t="str">
        <x:v>موقع الجهة أو قناة مرتبطة بها</x:v>
      </x:c>
    </x:row>
    <x:row r="73" ht="45" customHeight="1">
      <x:c r="A73" s="10" t="str">
        <x:v>S068</x:v>
      </x:c>
      <x:c r="B73" s="6" t="str">
        <x:v>Quiqup</x:v>
      </x:c>
      <x:c r="C73" s="6" t="str">
        <x:v>دبي</x:v>
      </x:c>
      <x:c r="D73" s="6" t="str">
        <x:v>الخدمات اللوجستية</x:v>
      </x:c>
      <x:c r="E73" s="6" t="str">
        <x:v>غير متاح في المصادر المراجعة</x:v>
      </x:c>
      <x:c r="F73" s="6" t="str">
        <x:v>Federico Ferraro; Tim Linssen; Danny Hawkins</x:v>
      </x:c>
      <x:c r="G73" s="6" t="str">
        <x:v>support.dubai@quiqup.com</x:v>
      </x:c>
      <x:c r="H73" s="6" t="str">
        <x:v>غير متاح في المصادر المراجعة</x:v>
      </x:c>
      <x:c r="I73" s="6" t="str">
        <x:v>دعم / خدمة عملاء؛ اطلب التحويل</x:v>
      </x:c>
      <x:c r="J73" s="14" t="e">
        <x:f>HYPERLINK("https://quiqup.com","quiqup.com")</x:f>
        <x:v>HYPERLINK is not implemented. linkLocation=https://quiqup.com, friendlyName=quiqup.com</x:v>
      </x:c>
      <x:c r="K73" s="6" t="str">
        <x:v>غير مؤكد من المصادر المراجعة</x:v>
      </x:c>
      <x:c r="L73" s="6" t="str">
        <x:v>غير متاح في المصادر المراجعة</x:v>
      </x:c>
      <x:c r="M73" s="12" t="str">
        <x:v>غير متاح في المصادر المراجعة</x:v>
      </x:c>
      <x:c r="N73" s="6" t="str">
        <x:v>غير متاح في المصادر المراجعة</x:v>
      </x:c>
      <x:c r="O73" s="6" t="str">
        <x:v>لا توجد جولة محددة موثقة ضمن هذه المراجعة</x:v>
      </x:c>
      <x:c r="P73" s="13" t="str">
        <x:v>لم يتم التواصل</x:v>
      </x:c>
      <x:c r="Q73" s="6" t="str">
        <x:v>تأكيد بيانات الشركة واحتياجها للتمويل / المشاركة</x:v>
      </x:c>
      <x:c r="R73" s="6" t="str"/>
      <x:c r="S73" s="11" t="d">
        <x:v>2026-10-22T06:00:00.000Z</x:v>
      </x:c>
      <x:c r="T73" s="14" t="e">
        <x:f>HYPERLINK("https://www.quiqup.com/contact-international","quiqup.com")</x:f>
        <x:v>HYPERLINK is not implemented. linkLocation=https://www.quiqup.com/contact-international, friendlyName=quiqup.com</x:v>
      </x:c>
      <x:c r="U73" s="14" t="str">
        <x:v>https://www.thenationalnews.com/business/start-ups/2022/08/22/generation-start-up-how-ai-powered-quiqup-is-revolutionising-the-uaes-q-commerce-market/
https://www.wamda.com/index.php/2022/03/quiqup-receives-136-million-loan-mbrif
https://www.crunchbase.com/organization/quiqup</x:v>
      </x:c>
      <x:c r="V73" s="14" t="str">
        <x:v>غير متاح في المصادر المراجعة</x:v>
      </x:c>
      <x:c r="W73" s="14" t="e">
        <x:f>HYPERLINK("https://www.quiqup.com/contact-international","quiqup.com")</x:f>
        <x:v>HYPERLINK is not implemented. linkLocation=https://www.quiqup.com/contact-international, friendlyName=quiqup.com</x:v>
      </x:c>
      <x:c r="X73" s="14" t="str">
        <x:v>غير متاح في المصادر المراجعة</x:v>
      </x:c>
      <x:c r="Y73" s="14" t="e">
        <x:f>HYPERLINK("https://www.quiqup.com/contact-international","quiqup.com")</x:f>
        <x:v>HYPERLINK is not implemented. linkLocation=https://www.quiqup.com/contact-international, friendlyName=quiqup.com</x:v>
      </x:c>
      <x:c r="Z73" s="6" t="str">
        <x:v>موقع الجهة أو قناة مرتبطة بها</x:v>
      </x:c>
      <x:c r="AA73" s="6" t="str">
        <x:v>غير متاح في المصادر المراجعة</x:v>
      </x:c>
    </x:row>
    <x:row r="74" ht="45" customHeight="1">
      <x:c r="A74" s="10" t="str">
        <x:v>S069</x:v>
      </x:c>
      <x:c r="B74" s="6" t="str">
        <x:v>Shipa</x:v>
      </x:c>
      <x:c r="C74" s="6" t="str">
        <x:v>دبي</x:v>
      </x:c>
      <x:c r="D74" s="6" t="str">
        <x:v>الخدمات اللوجستية</x:v>
      </x:c>
      <x:c r="E74" s="6" t="n">
        <x:v>2016</x:v>
      </x:c>
      <x:c r="F74" s="6" t="str">
        <x:v>غير متاح في المصادر المراجعة</x:v>
      </x:c>
      <x:c r="G74" s="6" t="str">
        <x:v>support@shipa.com</x:v>
      </x:c>
      <x:c r="H74" s="6" t="str">
        <x:v>+971 4 886 6222</x:v>
      </x:c>
      <x:c r="I74" s="6" t="str">
        <x:v>دعم / خدمة عملاء؛ اطلب التحويل</x:v>
      </x:c>
      <x:c r="J74" s="14" t="e">
        <x:f>HYPERLINK("https://shipa.com","shipa.com")</x:f>
        <x:v>HYPERLINK is not implemented. linkLocation=https://shipa.com, friendlyName=shipa.com</x:v>
      </x:c>
      <x:c r="K74" s="6" t="str">
        <x:v>غير مؤكد من المصادر المراجعة</x:v>
      </x:c>
      <x:c r="L74" s="6" t="str">
        <x:v>غير متاح في المصادر المراجعة</x:v>
      </x:c>
      <x:c r="M74" s="12" t="str">
        <x:v>غير متاح في المصادر المراجعة</x:v>
      </x:c>
      <x:c r="N74" s="6" t="str">
        <x:v>غير متاح في المصادر المراجعة</x:v>
      </x:c>
      <x:c r="O74" s="6" t="str">
        <x:v>لا توجد جولة محددة موثقة ضمن هذه المراجعة</x:v>
      </x:c>
      <x:c r="P74" s="13" t="str">
        <x:v>لم يتم التواصل</x:v>
      </x:c>
      <x:c r="Q74" s="6" t="str">
        <x:v>تأكيد بيانات الشركة واحتياجها للتمويل / المشاركة</x:v>
      </x:c>
      <x:c r="R74" s="6" t="str">
        <x:v>ذراع مؤسسية مرتبطة بـ Agility؛ تُدرج كشركة تقنية نامية وليست ناشئة مستقلة.</x:v>
      </x:c>
      <x:c r="S74" s="11" t="d">
        <x:v>2026-10-22T06:00:00.000Z</x:v>
      </x:c>
      <x:c r="T74" s="14" t="e">
        <x:f>HYPERLINK("https://www.decypha.com/en/company-list/Shipa-Delivery-Services-L-L-C-237900","decypha.com")</x:f>
        <x:v>HYPERLINK is not implemented. linkLocation=https://www.decypha.com/en/company-list/Shipa-Delivery-Services-L-L-C-237900, friendlyName=decypha.com</x:v>
      </x:c>
      <x:c r="U74" s="14" t="str">
        <x:v>غير متاح في المصادر المراجعة</x:v>
      </x:c>
      <x:c r="V74" s="14" t="str">
        <x:v>غير متاح في المصادر المراجعة</x:v>
      </x:c>
      <x:c r="W74" s="14" t="e">
        <x:f>HYPERLINK("https://prod-shipa-cms-media.s3.eu-west-1.amazonaws.com/ebook_moving_online_en_6f130d0606.pdf","prod-shipa-cms-media.s3.eu-west-1.amazonaws.com")</x:f>
        <x:v>HYPERLINK is not implemented. linkLocation=https://prod-shipa-cms-media.s3.eu-west-1.amazonaws.com/ebook_moving_online_en_6f130d0606.pdf, friendlyName=prod-shipa-cms-media.s3.eu-west-1.amazonaws.com</x:v>
      </x:c>
      <x:c r="X74" s="14" t="e">
        <x:f>HYPERLINK("https://shipa.com/help-center/","shipa.com")</x:f>
        <x:v>HYPERLINK is not implemented. linkLocation=https://shipa.com/help-center/, friendlyName=shipa.com</x:v>
      </x:c>
      <x:c r="Y74" s="14" t="e">
        <x:f>HYPERLINK("https://shipa.com/help-center/","shipa.com")</x:f>
        <x:v>HYPERLINK is not implemented. linkLocation=https://shipa.com/help-center/, friendlyName=shipa.com</x:v>
      </x:c>
      <x:c r="Z74" s="6" t="str">
        <x:v>مصدر ثانوي؛ يلزم تأكيد مباشر</x:v>
      </x:c>
      <x:c r="AA74" s="6" t="str">
        <x:v>موقع الجهة أو قناة مرتبطة بها</x:v>
      </x:c>
    </x:row>
    <x:row r="75" ht="45" customHeight="1">
      <x:c r="A75" s="10" t="str">
        <x:v>S070</x:v>
      </x:c>
      <x:c r="B75" s="6" t="str">
        <x:v>iMile</x:v>
      </x:c>
      <x:c r="C75" s="6" t="str">
        <x:v>دبي</x:v>
      </x:c>
      <x:c r="D75" s="6" t="str">
        <x:v>الخدمات اللوجستية</x:v>
      </x:c>
      <x:c r="E75" s="6" t="n">
        <x:v>2017</x:v>
      </x:c>
      <x:c r="F75" s="6" t="str">
        <x:v>Rita Huang; Naveen Joseph; Gao Wenli</x:v>
      </x:c>
      <x:c r="G75" s="6" t="str">
        <x:v>customerservice@imile.me</x:v>
      </x:c>
      <x:c r="H75" s="6" t="str">
        <x:v>600 566 221</x:v>
      </x:c>
      <x:c r="I75" s="6" t="str">
        <x:v>دعم / خدمة عملاء؛ اطلب التحويل</x:v>
      </x:c>
      <x:c r="J75" s="14" t="e">
        <x:f>HYPERLINK("https://imile.com","imile.com")</x:f>
        <x:v>HYPERLINK is not implemented. linkLocation=https://imile.com, friendlyName=imile.com</x:v>
      </x:c>
      <x:c r="K75" s="6" t="str">
        <x:v>غير مؤكد من المصادر المراجعة</x:v>
      </x:c>
      <x:c r="L75" s="6" t="str">
        <x:v>Pre-Series A</x:v>
      </x:c>
      <x:c r="M75" s="12" t="n">
        <x:v>10000000</x:v>
      </x:c>
      <x:c r="N75" s="6" t="str">
        <x:v>2020-03</x:v>
      </x:c>
      <x:c r="O75" s="6" t="str">
        <x:v>جولة تاريخية</x:v>
      </x:c>
      <x:c r="P75" s="13" t="str">
        <x:v>لم يتم التواصل</x:v>
      </x:c>
      <x:c r="Q75" s="6" t="str">
        <x:v>تأكيد بيانات الشركة واحتياجها للتمويل / المشاركة</x:v>
      </x:c>
      <x:c r="R75" s="6" t="str"/>
      <x:c r="S75" s="11" t="d">
        <x:v>2026-10-22T06:00:00.000Z</x:v>
      </x:c>
      <x:c r="T75" s="14" t="e">
        <x:f>HYPERLINK("https://www.yello.ae/company/369070/imile","yello.ae")</x:f>
        <x:v>HYPERLINK is not implemented. linkLocation=https://www.yello.ae/company/369070/imile, friendlyName=yello.ae</x:v>
      </x:c>
      <x:c r="U75" s="14" t="str">
        <x:v>https://www.forbesmiddleeast.com/lists/the-middle-easts-50-most-funded-startups/imile/
https://www.imile.com/AE-en/AboutUs
https://www.imile.com/IT-en/blogDetails?searchTitle=iMile-expands-its-Middle-East-footprint-to-meet-consumer-demands%2F</x:v>
      </x:c>
      <x:c r="V75" s="14" t="e">
        <x:f>HYPERLINK("https://www.forbesmiddleeast.com/lists/the-middle-easts-50-most-funded-startups/imile/","forbesmiddleeast.com")</x:f>
        <x:v>HYPERLINK is not implemented. linkLocation=https://www.forbesmiddleeast.com/lists/the-middle-easts-50-most-funded-startups/imile/, friendlyName=forbesmiddleeast.com</x:v>
      </x:c>
      <x:c r="W75" s="14" t="e">
        <x:f>HYPERLINK("https://www.imile.com/undefined/CustomerService/OfficeLocations","imile.com")</x:f>
        <x:v>HYPERLINK is not implemented. linkLocation=https://www.imile.com/undefined/CustomerService/OfficeLocations, friendlyName=imile.com</x:v>
      </x:c>
      <x:c r="X75" s="14" t="e">
        <x:f>HYPERLINK("https://www.imile.com/undefined/CustomerService/OfficeLocations","imile.com")</x:f>
        <x:v>HYPERLINK is not implemented. linkLocation=https://www.imile.com/undefined/CustomerService/OfficeLocations, friendlyName=imile.com</x:v>
      </x:c>
      <x:c r="Y75" s="14" t="e">
        <x:f>HYPERLINK("https://www.imile.com/undefined/CustomerService/OfficeLocations","imile.com")</x:f>
        <x:v>HYPERLINK is not implemented. linkLocation=https://www.imile.com/undefined/CustomerService/OfficeLocations, friendlyName=imile.com</x:v>
      </x:c>
      <x:c r="Z75" s="6" t="str">
        <x:v>موقع الجهة أو قناة مرتبطة بها</x:v>
      </x:c>
      <x:c r="AA75" s="6" t="str">
        <x:v>موقع الجهة أو قناة مرتبطة بها</x:v>
      </x:c>
    </x:row>
    <x:row r="76" ht="45" customHeight="1">
      <x:c r="A76" s="10" t="str">
        <x:v>S071</x:v>
      </x:c>
      <x:c r="B76" s="6" t="str">
        <x:v>TruKKer</x:v>
      </x:c>
      <x:c r="C76" s="6" t="str">
        <x:v>دبي</x:v>
      </x:c>
      <x:c r="D76" s="6" t="str">
        <x:v>الشحن الرقمي</x:v>
      </x:c>
      <x:c r="E76" s="6" t="n">
        <x:v>2016</x:v>
      </x:c>
      <x:c r="F76" s="6" t="str">
        <x:v>غير متاح في المصادر المراجعة</x:v>
      </x:c>
      <x:c r="G76" s="6" t="str">
        <x:v>contact@trukker.com</x:v>
      </x:c>
      <x:c r="H76" s="6" t="str">
        <x:v>+971 56 548 0427</x:v>
      </x:c>
      <x:c r="I76" s="6" t="str">
        <x:v>استفسارات عامة</x:v>
      </x:c>
      <x:c r="J76" s="14" t="e">
        <x:f>HYPERLINK("https://trukker.com","trukker.com")</x:f>
        <x:v>HYPERLINK is not implemented. linkLocation=https://trukker.com, friendlyName=trukker.com</x:v>
      </x:c>
      <x:c r="K76" s="6" t="str">
        <x:v>غير مؤكد من المصادر المراجعة</x:v>
      </x:c>
      <x:c r="L76" s="6" t="str">
        <x:v>Series C</x:v>
      </x:c>
      <x:c r="M76" s="12" t="str">
        <x:v>غير متاح في المصادر المراجعة</x:v>
      </x:c>
      <x:c r="N76" s="6" t="str">
        <x:v>2022-08</x:v>
      </x:c>
      <x:c r="O76" s="6" t="str">
        <x:v>مرحلة موثقة في الملف التعريفي الرسمي</x:v>
      </x:c>
      <x:c r="P76" s="13" t="str">
        <x:v>لم يتم التواصل</x:v>
      </x:c>
      <x:c r="Q76" s="6" t="str">
        <x:v>تأكيد بيانات الشركة واحتياجها للتمويل / المشاركة</x:v>
      </x:c>
      <x:c r="R76" s="6" t="str"/>
      <x:c r="S76" s="11" t="d">
        <x:v>2026-10-22T06:00:00.000Z</x:v>
      </x:c>
      <x:c r="T76" s="14" t="e">
        <x:f>HYPERLINK("https://www.trukker.com/tc","trukker.com")</x:f>
        <x:v>HYPERLINK is not implemented. linkLocation=https://www.trukker.com/tc, friendlyName=trukker.com</x:v>
      </x:c>
      <x:c r="U76" s="14" t="str">
        <x:v>غير متاح في المصادر المراجعة</x:v>
      </x:c>
      <x:c r="V76" s="14" t="e">
        <x:f>HYPERLINK("https://trukker.com/assets/img/TruKKer-Brochure.pdf","trukker.com")</x:f>
        <x:v>HYPERLINK is not implemented. linkLocation=https://trukker.com/assets/img/TruKKer-Brochure.pdf, friendlyName=trukker.com</x:v>
      </x:c>
      <x:c r="W76" s="14" t="e">
        <x:f>HYPERLINK("https://www.trukker.com/privacy","trukker.com")</x:f>
        <x:v>HYPERLINK is not implemented. linkLocation=https://www.trukker.com/privacy, friendlyName=trukker.com</x:v>
      </x:c>
      <x:c r="X76" s="14" t="e">
        <x:f>HYPERLINK("https://www.trukker.com/contact-us","trukker.com")</x:f>
        <x:v>HYPERLINK is not implemented. linkLocation=https://www.trukker.com/contact-us, friendlyName=trukker.com</x:v>
      </x:c>
      <x:c r="Y76" s="14" t="e">
        <x:f>HYPERLINK("https://www.trukker.com/contact-us","trukker.com")</x:f>
        <x:v>HYPERLINK is not implemented. linkLocation=https://www.trukker.com/contact-us, friendlyName=trukker.com</x:v>
      </x:c>
      <x:c r="Z76" s="6" t="str">
        <x:v>موقع الجهة أو قناة مرتبطة بها</x:v>
      </x:c>
      <x:c r="AA76" s="6" t="str">
        <x:v>موقع الجهة أو قناة مرتبطة بها</x:v>
      </x:c>
    </x:row>
    <x:row r="77" ht="45" customHeight="1">
      <x:c r="A77" s="10" t="str">
        <x:v>S072</x:v>
      </x:c>
      <x:c r="B77" s="6" t="str">
        <x:v>Fero</x:v>
      </x:c>
      <x:c r="C77" s="6" t="str">
        <x:v>دبي</x:v>
      </x:c>
      <x:c r="D77" s="6" t="str">
        <x:v>الذكاء الاصطناعي اللوجستي</x:v>
      </x:c>
      <x:c r="E77" s="6" t="n">
        <x:v>2018</x:v>
      </x:c>
      <x:c r="F77" s="6" t="str">
        <x:v>Abhinav Chaudhary</x:v>
      </x:c>
      <x:c r="G77" s="6" t="str">
        <x:v>minoli@fero.ai</x:v>
      </x:c>
      <x:c r="H77" s="6" t="str">
        <x:v>+971 4 880 0161</x:v>
      </x:c>
      <x:c r="I77" s="6" t="str">
        <x:v>بريد عمل منشور لمسؤول بالجهة</x:v>
      </x:c>
      <x:c r="J77" s="14" t="e">
        <x:f>HYPERLINK("https://fero.ai","fero.ai")</x:f>
        <x:v>HYPERLINK is not implemented. linkLocation=https://fero.ai, friendlyName=fero.ai</x:v>
      </x:c>
      <x:c r="K77" s="6" t="str">
        <x:v>غير مؤكد من المصادر المراجعة</x:v>
      </x:c>
      <x:c r="L77" s="6" t="str">
        <x:v>غير متاح في المصادر المراجعة</x:v>
      </x:c>
      <x:c r="M77" s="12" t="str">
        <x:v>غير متاح في المصادر المراجعة</x:v>
      </x:c>
      <x:c r="N77" s="6" t="str">
        <x:v>غير متاح في المصادر المراجعة</x:v>
      </x:c>
      <x:c r="O77" s="6" t="str">
        <x:v>لا توجد جولة محددة موثقة ضمن هذه المراجعة</x:v>
      </x:c>
      <x:c r="P77" s="13" t="str">
        <x:v>لم يتم التواصل</x:v>
      </x:c>
      <x:c r="Q77" s="6" t="str">
        <x:v>تأكيد بيانات الشركة واحتياجها للتمويل / المشاركة</x:v>
      </x:c>
      <x:c r="R77" s="6" t="str"/>
      <x:c r="S77" s="11" t="d">
        <x:v>2026-10-22T06:00:00.000Z</x:v>
      </x:c>
      <x:c r="T77" s="14" t="e">
        <x:f>HYPERLINK("https://www.fero.ai/about_us","fero.ai")</x:f>
        <x:v>HYPERLINK is not implemented. linkLocation=https://www.fero.ai/about_us, friendlyName=fero.ai</x:v>
      </x:c>
      <x:c r="U77" s="14" t="str">
        <x:v>https://www.fero.ai/about_us
https://thestartupscene.me/INVESTMENTS/UAE-s-AI-Powered-Virtual-Freight-Operater-Fero-Raises-1-1-Million</x:v>
      </x:c>
      <x:c r="V77" s="14" t="str">
        <x:v>غير متاح في المصادر المراجعة</x:v>
      </x:c>
      <x:c r="W77" s="14" t="e">
        <x:f>HYPERLINK("https://ferogpt.feroai.com/contact_us","ferogpt.feroai.com")</x:f>
        <x:v>HYPERLINK is not implemented. linkLocation=https://ferogpt.feroai.com/contact_us, friendlyName=ferogpt.feroai.com</x:v>
      </x:c>
      <x:c r="X77" s="14" t="e">
        <x:f>HYPERLINK("https://www.fero.ai/contact_us","fero.ai")</x:f>
        <x:v>HYPERLINK is not implemented. linkLocation=https://www.fero.ai/contact_us, friendlyName=fero.ai</x:v>
      </x:c>
      <x:c r="Y77" s="14" t="e">
        <x:f>HYPERLINK("https://www.fero.ai/contact_us","fero.ai")</x:f>
        <x:v>HYPERLINK is not implemented. linkLocation=https://www.fero.ai/contact_us, friendlyName=fero.ai</x:v>
      </x:c>
      <x:c r="Z77" s="6" t="str">
        <x:v>موقع الجهة أو قناة مرتبطة بها</x:v>
      </x:c>
      <x:c r="AA77" s="6" t="str">
        <x:v>موقع الجهة أو قناة مرتبطة بها</x:v>
      </x:c>
    </x:row>
    <x:row r="78" ht="45" customHeight="1">
      <x:c r="A78" s="10" t="str">
        <x:v>S073</x:v>
      </x:c>
      <x:c r="B78" s="6" t="str">
        <x:v>Lyve</x:v>
      </x:c>
      <x:c r="C78" s="6" t="str">
        <x:v>أبوظبي</x:v>
      </x:c>
      <x:c r="D78" s="6" t="str">
        <x:v>الخدمات اللوجستية</x:v>
      </x:c>
      <x:c r="E78" s="6" t="str">
        <x:v>غير متاح في المصادر المراجعة</x:v>
      </x:c>
      <x:c r="F78" s="6" t="str">
        <x:v>غير متاح في المصادر المراجعة</x:v>
      </x:c>
      <x:c r="G78" s="6" t="str">
        <x:v>sales.uae@lyveglobal.com</x:v>
      </x:c>
      <x:c r="H78" s="6" t="str">
        <x:v>+971 2 546 9457</x:v>
      </x:c>
      <x:c r="I78" s="6" t="str">
        <x:v>أعمال / مبيعات / تمويل</x:v>
      </x:c>
      <x:c r="J78" s="14" t="e">
        <x:f>HYPERLINK("https://lyveglobal.com","lyveglobal.com")</x:f>
        <x:v>HYPERLINK is not implemented. linkLocation=https://lyveglobal.com, friendlyName=lyveglobal.com</x:v>
      </x:c>
      <x:c r="K78" s="6" t="str">
        <x:v>غير مؤكد من المصادر المراجعة</x:v>
      </x:c>
      <x:c r="L78" s="6" t="str">
        <x:v>غير متاح في المصادر المراجعة</x:v>
      </x:c>
      <x:c r="M78" s="12" t="str">
        <x:v>غير متاح في المصادر المراجعة</x:v>
      </x:c>
      <x:c r="N78" s="6" t="str">
        <x:v>غير متاح في المصادر المراجعة</x:v>
      </x:c>
      <x:c r="O78" s="6" t="str">
        <x:v>لا توجد جولة محددة موثقة ضمن هذه المراجعة</x:v>
      </x:c>
      <x:c r="P78" s="13" t="str">
        <x:v>لم يتم التواصل</x:v>
      </x:c>
      <x:c r="Q78" s="6" t="str">
        <x:v>تأكيد بيانات الشركة واحتياجها للتمويل / المشاركة</x:v>
      </x:c>
      <x:c r="R78" s="6" t="str">
        <x:v>توجد شركات مختلفة باسم Lyve؛ أدرجت lyveglobal.com للخدمات اللوجستية فقط.</x:v>
      </x:c>
      <x:c r="S78" s="11" t="d">
        <x:v>2026-10-22T06:00:00.000Z</x:v>
      </x:c>
      <x:c r="T78" s="14" t="e">
        <x:f>HYPERLINK("https://lyveglobal.com/contact/","lyveglobal.com")</x:f>
        <x:v>HYPERLINK is not implemented. linkLocation=https://lyveglobal.com/contact/, friendlyName=lyveglobal.com</x:v>
      </x:c>
      <x:c r="U78" s="14" t="str">
        <x:v>غير متاح في المصادر المراجعة</x:v>
      </x:c>
      <x:c r="V78" s="14" t="str">
        <x:v>غير متاح في المصادر المراجعة</x:v>
      </x:c>
      <x:c r="W78" s="14" t="e">
        <x:f>HYPERLINK("https://lyveglobal.com/contact/","lyveglobal.com")</x:f>
        <x:v>HYPERLINK is not implemented. linkLocation=https://lyveglobal.com/contact/, friendlyName=lyveglobal.com</x:v>
      </x:c>
      <x:c r="X78" s="14" t="e">
        <x:f>HYPERLINK("https://lyveglobal.com/contact/","lyveglobal.com")</x:f>
        <x:v>HYPERLINK is not implemented. linkLocation=https://lyveglobal.com/contact/, friendlyName=lyveglobal.com</x:v>
      </x:c>
      <x:c r="Y78" s="14" t="e">
        <x:f>HYPERLINK("https://lyveglobal.com/contact/","lyveglobal.com")</x:f>
        <x:v>HYPERLINK is not implemented. linkLocation=https://lyveglobal.com/contact/, friendlyName=lyveglobal.com</x:v>
      </x:c>
      <x:c r="Z78" s="6" t="str">
        <x:v>موقع الجهة أو قناة مرتبطة بها</x:v>
      </x:c>
      <x:c r="AA78" s="6" t="str">
        <x:v>موقع الجهة أو قناة مرتبطة بها</x:v>
      </x:c>
    </x:row>
    <x:row r="79" ht="45" customHeight="1">
      <x:c r="A79" s="10" t="str">
        <x:v>S074</x:v>
      </x:c>
      <x:c r="B79" s="6" t="str">
        <x:v>Jeebly</x:v>
      </x:c>
      <x:c r="C79" s="6" t="str">
        <x:v>دبي</x:v>
      </x:c>
      <x:c r="D79" s="6" t="str">
        <x:v>التوصيل</x:v>
      </x:c>
      <x:c r="E79" s="6" t="str">
        <x:v>غير متاح في المصادر المراجعة</x:v>
      </x:c>
      <x:c r="F79" s="6" t="str">
        <x:v>Raman Pathak</x:v>
      </x:c>
      <x:c r="G79" s="6" t="str">
        <x:v>connect@jeebly.com</x:v>
      </x:c>
      <x:c r="H79" s="6" t="str">
        <x:v>600 533259</x:v>
      </x:c>
      <x:c r="I79" s="6" t="str">
        <x:v>استفسارات عامة</x:v>
      </x:c>
      <x:c r="J79" s="14" t="e">
        <x:f>HYPERLINK("https://jeebly.com","jeebly.com")</x:f>
        <x:v>HYPERLINK is not implemented. linkLocation=https://jeebly.com, friendlyName=jeebly.com</x:v>
      </x:c>
      <x:c r="K79" s="6" t="str">
        <x:v>غير مؤكد من المصادر المراجعة</x:v>
      </x:c>
      <x:c r="L79" s="6" t="str">
        <x:v>غير متاح في المصادر المراجعة</x:v>
      </x:c>
      <x:c r="M79" s="12" t="str">
        <x:v>غير متاح في المصادر المراجعة</x:v>
      </x:c>
      <x:c r="N79" s="6" t="str">
        <x:v>غير متاح في المصادر المراجعة</x:v>
      </x:c>
      <x:c r="O79" s="6" t="str">
        <x:v>لا توجد جولة محددة موثقة ضمن هذه المراجعة</x:v>
      </x:c>
      <x:c r="P79" s="13" t="str">
        <x:v>لم يتم التواصل</x:v>
      </x:c>
      <x:c r="Q79" s="6" t="str">
        <x:v>تأكيد بيانات الشركة واحتياجها للتمويل / المشاركة</x:v>
      </x:c>
      <x:c r="R79" s="6" t="str">
        <x:v>أعلنت Lyve الاستحواذ على حصة أغلبية في 2022؛ ليست جهة مستقلة بالكامل.</x:v>
      </x:c>
      <x:c r="S79" s="11" t="d">
        <x:v>2026-10-22T06:00:00.000Z</x:v>
      </x:c>
      <x:c r="T79" s="14" t="e">
        <x:f>HYPERLINK("https://jeebly.com/faq/","jeebly.com")</x:f>
        <x:v>HYPERLINK is not implemented. linkLocation=https://jeebly.com/faq/, friendlyName=jeebly.com</x:v>
      </x:c>
      <x:c r="U79" s="14" t="str">
        <x:v>https://www.crunchbase.com/organization/jeebly
https://www.wamda.com/en/2022/07/uaes-lyve-acquires-majority-stake-jeebly
https://jeebly.com/about-us/</x:v>
      </x:c>
      <x:c r="V79" s="14" t="str">
        <x:v>غير متاح في المصادر المراجعة</x:v>
      </x:c>
      <x:c r="W79" s="14" t="e">
        <x:f>HYPERLINK("https://jeebly.com/faq/","jeebly.com")</x:f>
        <x:v>HYPERLINK is not implemented. linkLocation=https://jeebly.com/faq/, friendlyName=jeebly.com</x:v>
      </x:c>
      <x:c r="X79" s="14" t="e">
        <x:f>HYPERLINK("https://jeebly.com/faq/","jeebly.com")</x:f>
        <x:v>HYPERLINK is not implemented. linkLocation=https://jeebly.com/faq/, friendlyName=jeebly.com</x:v>
      </x:c>
      <x:c r="Y79" s="14" t="e">
        <x:f>HYPERLINK("https://jeebly.com/faq/","jeebly.com")</x:f>
        <x:v>HYPERLINK is not implemented. linkLocation=https://jeebly.com/faq/, friendlyName=jeebly.com</x:v>
      </x:c>
      <x:c r="Z79" s="6" t="str">
        <x:v>موقع الجهة أو قناة مرتبطة بها</x:v>
      </x:c>
      <x:c r="AA79" s="6" t="str">
        <x:v>موقع الجهة أو قناة مرتبطة بها</x:v>
      </x:c>
    </x:row>
    <x:row r="80" ht="45" customHeight="1">
      <x:c r="A80" s="10" t="str">
        <x:v>S075</x:v>
      </x:c>
      <x:c r="B80" s="6" t="str">
        <x:v>Sarwa</x:v>
      </x:c>
      <x:c r="C80" s="6" t="str">
        <x:v>أبوظبي / دبي</x:v>
      </x:c>
      <x:c r="D80" s="6" t="str">
        <x:v>الاستثمار الرقمي</x:v>
      </x:c>
      <x:c r="E80" s="6" t="n">
        <x:v>2017</x:v>
      </x:c>
      <x:c r="F80" s="6" t="str">
        <x:v>Jad Sayegh; Nadine Mezher</x:v>
      </x:c>
      <x:c r="G80" s="6" t="str">
        <x:v>hello@sarwa.co</x:v>
      </x:c>
      <x:c r="H80" s="6" t="str">
        <x:v>+971 50 415 1476</x:v>
      </x:c>
      <x:c r="I80" s="6" t="str">
        <x:v>استفسارات عامة</x:v>
      </x:c>
      <x:c r="J80" s="14" t="e">
        <x:f>HYPERLINK("https://sarwa.co","sarwa.co")</x:f>
        <x:v>HYPERLINK is not implemented. linkLocation=https://sarwa.co, friendlyName=sarwa.co</x:v>
      </x:c>
      <x:c r="K80" s="6" t="str">
        <x:v>غير مؤكد من المصادر المراجعة</x:v>
      </x:c>
      <x:c r="L80" s="6" t="str">
        <x:v>Series B</x:v>
      </x:c>
      <x:c r="M80" s="12" t="n">
        <x:v>15000000</x:v>
      </x:c>
      <x:c r="N80" s="6" t="str">
        <x:v>2021</x:v>
      </x:c>
      <x:c r="O80" s="6" t="str">
        <x:v>جولة تاريخية من موقع الشركة</x:v>
      </x:c>
      <x:c r="P80" s="13" t="str">
        <x:v>لم يتم التواصل</x:v>
      </x:c>
      <x:c r="Q80" s="6" t="str">
        <x:v>تأكيد بيانات الشركة واحتياجها للتمويل / المشاركة</x:v>
      </x:c>
      <x:c r="R80" s="6" t="str"/>
      <x:c r="S80" s="11" t="d">
        <x:v>2026-10-22T06:00:00.000Z</x:v>
      </x:c>
      <x:c r="T80" s="14" t="e">
        <x:f>HYPERLINK("https://blog.sarwa.co/what-is-sarwa-and-how-does-it-work/","blog.sarwa.co")</x:f>
        <x:v>HYPERLINK is not implemented. linkLocation=https://blog.sarwa.co/what-is-sarwa-and-how-does-it-work/, friendlyName=blog.sarwa.co</x:v>
      </x:c>
      <x:c r="U80" s="14" t="str">
        <x:v>https://blog.sarwa.co/what-is-sarwa-and-how-does-it-work/
https://www.forbesmiddleeast.com/lists/the-middle-easts-fintech-50-2026/sarwa/
https://blog.sarwa.co/press-release-uae-based-fintech-startup-sarwa-raises-84m-series-a-funding-round-led-by-kipco</x:v>
      </x:c>
      <x:c r="V80" s="14" t="e">
        <x:f>HYPERLINK("https://blog.sarwa.co/what-is-sarwa-and-how-does-it-work/","blog.sarwa.co")</x:f>
        <x:v>HYPERLINK is not implemented. linkLocation=https://blog.sarwa.co/what-is-sarwa-and-how-does-it-work/, friendlyName=blog.sarwa.co</x:v>
      </x:c>
      <x:c r="W80" s="14" t="e">
        <x:f>HYPERLINK("https://help.sarwa.co/hc/en-us/requests/new","help.sarwa.co")</x:f>
        <x:v>HYPERLINK is not implemented. linkLocation=https://help.sarwa.co/hc/en-us/requests/new, friendlyName=help.sarwa.co</x:v>
      </x:c>
      <x:c r="X80" s="14" t="e">
        <x:f>HYPERLINK("https://help.sarwa.co/hc/en-us/requests/new","help.sarwa.co")</x:f>
        <x:v>HYPERLINK is not implemented. linkLocation=https://help.sarwa.co/hc/en-us/requests/new, friendlyName=help.sarwa.co</x:v>
      </x:c>
      <x:c r="Y80" s="14" t="e">
        <x:f>HYPERLINK("https://help.sarwa.co/hc/en-us/articles/13712637877661-How-do-I-update-my-contact-details-and-personal-information","help.sarwa.co")</x:f>
        <x:v>HYPERLINK is not implemented. linkLocation=https://help.sarwa.co/hc/en-us/articles/13712637877661-How-do-I-update-my-contact-details-and-personal-information, friendlyName=help.sarwa.co</x:v>
      </x:c>
      <x:c r="Z80" s="6" t="str">
        <x:v>موقع الجهة أو قناة مرتبطة بها</x:v>
      </x:c>
      <x:c r="AA80" s="6" t="str">
        <x:v>موقع الجهة أو قناة مرتبطة بها</x:v>
      </x:c>
    </x:row>
    <x:row r="81" ht="45" customHeight="1">
      <x:c r="A81" s="10" t="str">
        <x:v>S076</x:v>
      </x:c>
      <x:c r="B81" s="6" t="str">
        <x:v>Letswork</x:v>
      </x:c>
      <x:c r="C81" s="6" t="str">
        <x:v>دبي</x:v>
      </x:c>
      <x:c r="D81" s="6" t="str">
        <x:v>مساحات العمل</x:v>
      </x:c>
      <x:c r="E81" s="6" t="n">
        <x:v>2019</x:v>
      </x:c>
      <x:c r="F81" s="6" t="str">
        <x:v>Omar AlMheiri; Hamza Khan</x:v>
      </x:c>
      <x:c r="G81" s="6" t="str">
        <x:v>hello@letswork.io</x:v>
      </x:c>
      <x:c r="H81" s="6" t="str">
        <x:v>+971 4 581 3652</x:v>
      </x:c>
      <x:c r="I81" s="6" t="str">
        <x:v>استفسارات عامة</x:v>
      </x:c>
      <x:c r="J81" s="14" t="e">
        <x:f>HYPERLINK("https://letswork.io","letswork.io")</x:f>
        <x:v>HYPERLINK is not implemented. linkLocation=https://letswork.io, friendlyName=letswork.io</x:v>
      </x:c>
      <x:c r="K81" s="6" t="str">
        <x:v>غير مؤكد من المصادر المراجعة</x:v>
      </x:c>
      <x:c r="L81" s="6" t="str">
        <x:v>Seed</x:v>
      </x:c>
      <x:c r="M81" s="12" t="n">
        <x:v>2100000</x:v>
      </x:c>
      <x:c r="N81" s="6" t="str">
        <x:v>2022-12</x:v>
      </x:c>
      <x:c r="O81" s="6" t="str">
        <x:v>استثمار معلن</x:v>
      </x:c>
      <x:c r="P81" s="13" t="str">
        <x:v>لم يتم التواصل</x:v>
      </x:c>
      <x:c r="Q81" s="6" t="str">
        <x:v>تأكيد بيانات الشركة واحتياجها للتمويل / المشاركة</x:v>
      </x:c>
      <x:c r="R81" s="6" t="str"/>
      <x:c r="S81" s="11" t="d">
        <x:v>2026-10-22T06:00:00.000Z</x:v>
      </x:c>
      <x:c r="T81" s="14" t="e">
        <x:f>HYPERLINK("https://www.letswork.io/about","letswork.io")</x:f>
        <x:v>HYPERLINK is not implemented. linkLocation=https://www.letswork.io/about, friendlyName=letswork.io</x:v>
      </x:c>
      <x:c r="U81" s="14" t="str">
        <x:v>https://www.letswork.io/about
https://www.crunchbase.com/organization/letswork
https://www.wamda.com/index.php/en/2022/12/letswork-raises-2-1-million-seed-expands-saudi-arabia</x:v>
      </x:c>
      <x:c r="V81" s="14" t="e">
        <x:f>HYPERLINK("https://www.letswork.io/about","letswork.io")</x:f>
        <x:v>HYPERLINK is not implemented. linkLocation=https://www.letswork.io/about, friendlyName=letswork.io</x:v>
      </x:c>
      <x:c r="W81" s="14" t="e">
        <x:f>HYPERLINK("https://prod-web.letswork.io/contact","prod-web.letswork.io")</x:f>
        <x:v>HYPERLINK is not implemented. linkLocation=https://prod-web.letswork.io/contact, friendlyName=prod-web.letswork.io</x:v>
      </x:c>
      <x:c r="X81" s="14" t="e">
        <x:f>HYPERLINK("https://prod-web.letswork.io/contact","prod-web.letswork.io")</x:f>
        <x:v>HYPERLINK is not implemented. linkLocation=https://prod-web.letswork.io/contact, friendlyName=prod-web.letswork.io</x:v>
      </x:c>
      <x:c r="Y81" s="14" t="e">
        <x:f>HYPERLINK("https://prod-web.letswork.io/contact","prod-web.letswork.io")</x:f>
        <x:v>HYPERLINK is not implemented. linkLocation=https://prod-web.letswork.io/contact, friendlyName=prod-web.letswork.io</x:v>
      </x:c>
      <x:c r="Z81" s="6" t="str">
        <x:v>موقع الجهة أو قناة مرتبطة بها</x:v>
      </x:c>
      <x:c r="AA81" s="6" t="str">
        <x:v>موقع الجهة أو قناة مرتبطة بها</x:v>
      </x:c>
    </x:row>
    <x:row r="82" ht="45" customHeight="1">
      <x:c r="A82" s="10" t="str">
        <x:v>S077</x:v>
      </x:c>
      <x:c r="B82" s="6" t="str">
        <x:v>Hotdesk</x:v>
      </x:c>
      <x:c r="C82" s="6" t="str">
        <x:v>دبي</x:v>
      </x:c>
      <x:c r="D82" s="6" t="str">
        <x:v>مساحات العمل</x:v>
      </x:c>
      <x:c r="E82" s="6" t="n">
        <x:v>2019</x:v>
      </x:c>
      <x:c r="F82" s="6" t="str">
        <x:v>غير متاح في المصادر المراجعة</x:v>
      </x:c>
      <x:c r="G82" s="6" t="str">
        <x:v>hello@hotdesk.com</x:v>
      </x:c>
      <x:c r="H82" s="6" t="str">
        <x:v>+971 56 163 0993</x:v>
      </x:c>
      <x:c r="I82" s="6" t="str">
        <x:v>استفسارات عامة</x:v>
      </x:c>
      <x:c r="J82" s="14" t="e">
        <x:f>HYPERLINK("https://hotdesk.com","hotdesk.com")</x:f>
        <x:v>HYPERLINK is not implemented. linkLocation=https://hotdesk.com, friendlyName=hotdesk.com</x:v>
      </x:c>
      <x:c r="K82" s="6" t="str">
        <x:v>غير مؤكد من المصادر المراجعة</x:v>
      </x:c>
      <x:c r="L82" s="6" t="str">
        <x:v>Seed</x:v>
      </x:c>
      <x:c r="M82" s="12" t="n">
        <x:v>1000000</x:v>
      </x:c>
      <x:c r="N82" s="6" t="str">
        <x:v>2021-09</x:v>
      </x:c>
      <x:c r="O82" s="6" t="str">
        <x:v>دليل ثانوي</x:v>
      </x:c>
      <x:c r="P82" s="13" t="str">
        <x:v>لم يتم التواصل</x:v>
      </x:c>
      <x:c r="Q82" s="6" t="str">
        <x:v>تأكيد بيانات الشركة واحتياجها للتمويل / المشاركة</x:v>
      </x:c>
      <x:c r="R82" s="6" t="str"/>
      <x:c r="S82" s="11" t="d">
        <x:v>2026-10-22T06:00:00.000Z</x:v>
      </x:c>
      <x:c r="T82" s="14" t="e">
        <x:f>HYPERLINK("https://www.streetinsider.com/Press%2BReleases/Hotdesk%2BAnnounces%2BExpansion%2Bto%2BMore%2BThan%2B2%2C500%2BWorkspaces%2BWorldwide/26668372.html","streetinsider.com")</x:f>
        <x:v>HYPERLINK is not implemented. linkLocation=https://www.streetinsider.com/Press%2BReleases/Hotdesk%2BAnnounces%2BExpansion%2Bto%2BMore%2BThan%2B2%2C500%2BWorkspaces%2BWorldwide/26668372.html, friendlyName=streetinsider.com</x:v>
      </x:c>
      <x:c r="U82" s="14" t="str">
        <x:v>غير متاح في المصادر المراجعة</x:v>
      </x:c>
      <x:c r="V82" s="14" t="e">
        <x:f>HYPERLINK("https://gulfstartupmap.com/startups/hotdesk","gulfstartupmap.com")</x:f>
        <x:v>HYPERLINK is not implemented. linkLocation=https://gulfstartupmap.com/startups/hotdesk, friendlyName=gulfstartupmap.com</x:v>
      </x:c>
      <x:c r="W82" s="14" t="e">
        <x:f>HYPERLINK("https://www.provenexpert.com/en-us/hotdesk/","provenexpert.com")</x:f>
        <x:v>HYPERLINK is not implemented. linkLocation=https://www.provenexpert.com/en-us/hotdesk/, friendlyName=provenexpert.com</x:v>
      </x:c>
      <x:c r="X82" s="14" t="e">
        <x:f>HYPERLINK("https://www.hotdesk.com/contact?lang=en","hotdesk.com")</x:f>
        <x:v>HYPERLINK is not implemented. linkLocation=https://www.hotdesk.com/contact?lang=en, friendlyName=hotdesk.com</x:v>
      </x:c>
      <x:c r="Y82" s="14" t="e">
        <x:f>HYPERLINK("https://www.hotdesk.com/contact?lang=en","hotdesk.com")</x:f>
        <x:v>HYPERLINK is not implemented. linkLocation=https://www.hotdesk.com/contact?lang=en, friendlyName=hotdesk.com</x:v>
      </x:c>
      <x:c r="Z82" s="6" t="str">
        <x:v>مصدر ثانوي؛ يلزم تأكيد مباشر</x:v>
      </x:c>
      <x:c r="AA82" s="6" t="str">
        <x:v>موقع الجهة أو قناة مرتبطة بها</x:v>
      </x:c>
    </x:row>
    <x:row r="83" ht="45" customHeight="1">
      <x:c r="A83" s="10" t="str">
        <x:v>S078</x:v>
      </x:c>
      <x:c r="B83" s="6" t="str">
        <x:v>Tenderd</x:v>
      </x:c>
      <x:c r="C83" s="6" t="str">
        <x:v>دبي</x:v>
      </x:c>
      <x:c r="D83" s="6" t="str">
        <x:v>إدارة المعدات</x:v>
      </x:c>
      <x:c r="E83" s="6" t="str">
        <x:v>غير متاح في المصادر المراجعة</x:v>
      </x:c>
      <x:c r="F83" s="6" t="str">
        <x:v>غير متاح في المصادر المراجعة</x:v>
      </x:c>
      <x:c r="G83" s="6" t="str">
        <x:v>info@tenderd.com</x:v>
      </x:c>
      <x:c r="H83" s="6" t="str">
        <x:v>+971 4 514 7224</x:v>
      </x:c>
      <x:c r="I83" s="6" t="str">
        <x:v>استفسارات عامة</x:v>
      </x:c>
      <x:c r="J83" s="14" t="e">
        <x:f>HYPERLINK("https://tenderd.com","tenderd.com")</x:f>
        <x:v>HYPERLINK is not implemented. linkLocation=https://tenderd.com, friendlyName=tenderd.com</x:v>
      </x:c>
      <x:c r="K83" s="6" t="str">
        <x:v>غير مؤكد من المصادر المراجعة</x:v>
      </x:c>
      <x:c r="L83" s="6" t="str">
        <x:v>غير متاح في المصادر المراجعة</x:v>
      </x:c>
      <x:c r="M83" s="12" t="str">
        <x:v>غير متاح في المصادر المراجعة</x:v>
      </x:c>
      <x:c r="N83" s="6" t="str">
        <x:v>غير متاح في المصادر المراجعة</x:v>
      </x:c>
      <x:c r="O83" s="6" t="str">
        <x:v>لا توجد جولة محددة موثقة ضمن هذه المراجعة</x:v>
      </x:c>
      <x:c r="P83" s="13" t="str">
        <x:v>لم يتم التواصل</x:v>
      </x:c>
      <x:c r="Q83" s="6" t="str">
        <x:v>تأكيد بيانات الشركة واحتياجها للتمويل / المشاركة</x:v>
      </x:c>
      <x:c r="R83" s="6" t="str"/>
      <x:c r="S83" s="11" t="d">
        <x:v>2026-10-22T06:00:00.000Z</x:v>
      </x:c>
      <x:c r="T83" s="14" t="e">
        <x:f>HYPERLINK("https://tenderd.com/contact-us-old/","tenderd.com")</x:f>
        <x:v>HYPERLINK is not implemented. linkLocation=https://tenderd.com/contact-us-old/, friendlyName=tenderd.com</x:v>
      </x:c>
      <x:c r="U83" s="14" t="str">
        <x:v>غير متاح في المصادر المراجعة</x:v>
      </x:c>
      <x:c r="V83" s="14" t="str">
        <x:v>غير متاح في المصادر المراجعة</x:v>
      </x:c>
      <x:c r="W83" s="14" t="e">
        <x:f>HYPERLINK("https://tenderd.com/contact-us-old/","tenderd.com")</x:f>
        <x:v>HYPERLINK is not implemented. linkLocation=https://tenderd.com/contact-us-old/, friendlyName=tenderd.com</x:v>
      </x:c>
      <x:c r="X83" s="14" t="e">
        <x:f>HYPERLINK("https://tenderd.com/contact-us-old/","tenderd.com")</x:f>
        <x:v>HYPERLINK is not implemented. linkLocation=https://tenderd.com/contact-us-old/, friendlyName=tenderd.com</x:v>
      </x:c>
      <x:c r="Y83" s="14" t="e">
        <x:f>HYPERLINK("https://tenderd.com/contact-us-old/","tenderd.com")</x:f>
        <x:v>HYPERLINK is not implemented. linkLocation=https://tenderd.com/contact-us-old/, friendlyName=tenderd.com</x:v>
      </x:c>
      <x:c r="Z83" s="6" t="str">
        <x:v>موقع الجهة أو قناة مرتبطة بها</x:v>
      </x:c>
      <x:c r="AA83" s="6" t="str">
        <x:v>موقع الجهة أو قناة مرتبطة بها</x:v>
      </x:c>
    </x:row>
    <x:row r="84" ht="45" customHeight="1">
      <x:c r="A84" s="10" t="str">
        <x:v>S079</x:v>
      </x:c>
      <x:c r="B84" s="6" t="str">
        <x:v>CAFU</x:v>
      </x:c>
      <x:c r="C84" s="6" t="str">
        <x:v>دبي</x:v>
      </x:c>
      <x:c r="D84" s="6" t="str">
        <x:v>خدمات التنقل</x:v>
      </x:c>
      <x:c r="E84" s="6" t="n">
        <x:v>2018</x:v>
      </x:c>
      <x:c r="F84" s="6" t="str">
        <x:v>Rashid Al Ghurair</x:v>
      </x:c>
      <x:c r="G84" s="6" t="str">
        <x:v>support@cafu.com</x:v>
      </x:c>
      <x:c r="H84" s="6" t="str">
        <x:v>800 692238</x:v>
      </x:c>
      <x:c r="I84" s="6" t="str">
        <x:v>دعم / خدمة عملاء؛ اطلب التحويل</x:v>
      </x:c>
      <x:c r="J84" s="14" t="e">
        <x:f>HYPERLINK("https://cafu.com","cafu.com")</x:f>
        <x:v>HYPERLINK is not implemented. linkLocation=https://cafu.com, friendlyName=cafu.com</x:v>
      </x:c>
      <x:c r="K84" s="6" t="str">
        <x:v>تقرير سابق عن بحث تمويل؛ الحالي غير مؤكد</x:v>
      </x:c>
      <x:c r="L84" s="6" t="str">
        <x:v>غير متاح في المصادر المراجعة</x:v>
      </x:c>
      <x:c r="M84" s="12" t="str">
        <x:v>غير متاح في المصادر المراجعة</x:v>
      </x:c>
      <x:c r="N84" s="6" t="str">
        <x:v>غير متاح في المصادر المراجعة</x:v>
      </x:c>
      <x:c r="O84" s="6" t="str">
        <x:v>لا توجد جولة محددة موثقة ضمن هذه المراجعة</x:v>
      </x:c>
      <x:c r="P84" s="13" t="str">
        <x:v>لم يتم التواصل</x:v>
      </x:c>
      <x:c r="Q84" s="6" t="str">
        <x:v>تأكيد بيانات الشركة واحتياجها للتمويل / المشاركة</x:v>
      </x:c>
      <x:c r="R84" s="6" t="str"/>
      <x:c r="S84" s="11" t="d">
        <x:v>2026-10-22T06:00:00.000Z</x:v>
      </x:c>
      <x:c r="T84" s="14" t="e">
        <x:f>HYPERLINK("https://dayofdubai.com/directory/cafu-fuel-delivery-app-on-demand-fuel-delivery/","dayofdubai.com")</x:f>
        <x:v>HYPERLINK is not implemented. linkLocation=https://dayofdubai.com/directory/cafu-fuel-delivery-app-on-demand-fuel-delivery/, friendlyName=dayofdubai.com</x:v>
      </x:c>
      <x:c r="U84" s="14" t="str">
        <x:v>https://gulfnews.com/business/markets/dubai-fuel-delivery-startup-cafu-explores-first-stake-sale-1.500104324
https://www.crunchbase.com/organization/cafu
https://www.erpecnewslive.com/article/207791/fuel-delivery-startup-cafu-explores-raising-funds</x:v>
      </x:c>
      <x:c r="V84" s="14" t="str">
        <x:v>غير متاح في المصادر المراجعة</x:v>
      </x:c>
      <x:c r="W84" s="14" t="e">
        <x:f>HYPERLINK("https://www.cafu.com/terms","cafu.com")</x:f>
        <x:v>HYPERLINK is not implemented. linkLocation=https://www.cafu.com/terms, friendlyName=cafu.com</x:v>
      </x:c>
      <x:c r="X84" s="14" t="e">
        <x:f>HYPERLINK("https://www.bayut.com/mybayut/complete-guide-using-cafu-dubai/","bayut.com")</x:f>
        <x:v>HYPERLINK is not implemented. linkLocation=https://www.bayut.com/mybayut/complete-guide-using-cafu-dubai/, friendlyName=bayut.com</x:v>
      </x:c>
      <x:c r="Y84" s="14" t="e">
        <x:f>HYPERLINK("https://www.cafu.com/terms","cafu.com")</x:f>
        <x:v>HYPERLINK is not implemented. linkLocation=https://www.cafu.com/terms, friendlyName=cafu.com</x:v>
      </x:c>
      <x:c r="Z84" s="6" t="str">
        <x:v>موقع الجهة أو قناة مرتبطة بها</x:v>
      </x:c>
      <x:c r="AA84" s="6" t="str">
        <x:v>مصدر ثانوي؛ يلزم تأكيد مباشر</x:v>
      </x:c>
    </x:row>
    <x:row r="85" ht="45" customHeight="1">
      <x:c r="A85" s="10" t="str">
        <x:v>S080</x:v>
      </x:c>
      <x:c r="B85" s="6" t="str">
        <x:v>Udrive</x:v>
      </x:c>
      <x:c r="C85" s="6" t="str">
        <x:v>دبي</x:v>
      </x:c>
      <x:c r="D85" s="6" t="str">
        <x:v>مشاركة السيارات</x:v>
      </x:c>
      <x:c r="E85" s="6" t="n">
        <x:v>2016</x:v>
      </x:c>
      <x:c r="F85" s="6" t="str">
        <x:v>Nicholas Watson; Hasib Khan</x:v>
      </x:c>
      <x:c r="G85" s="6" t="str">
        <x:v>customerservice@udrive.ae</x:v>
      </x:c>
      <x:c r="H85" s="6" t="str">
        <x:v>800 837483</x:v>
      </x:c>
      <x:c r="I85" s="6" t="str">
        <x:v>دعم / خدمة عملاء؛ اطلب التحويل</x:v>
      </x:c>
      <x:c r="J85" s="14" t="e">
        <x:f>HYPERLINK("https://udrive.ae","udrive.ae")</x:f>
        <x:v>HYPERLINK is not implemented. linkLocation=https://udrive.ae, friendlyName=udrive.ae</x:v>
      </x:c>
      <x:c r="K85" s="6" t="str">
        <x:v>غير مؤكد من المصادر المراجعة</x:v>
      </x:c>
      <x:c r="L85" s="6" t="str">
        <x:v>جولة تمويل</x:v>
      </x:c>
      <x:c r="M85" s="12" t="n">
        <x:v>5000000</x:v>
      </x:c>
      <x:c r="N85" s="6" t="str">
        <x:v>2022-02</x:v>
      </x:c>
      <x:c r="O85" s="6" t="str">
        <x:v>جولة تاريخية</x:v>
      </x:c>
      <x:c r="P85" s="13" t="str">
        <x:v>لم يتم التواصل</x:v>
      </x:c>
      <x:c r="Q85" s="6" t="str">
        <x:v>تأكيد بيانات الشركة واحتياجها للتمويل / المشاركة</x:v>
      </x:c>
      <x:c r="R85" s="6" t="str"/>
      <x:c r="S85" s="11" t="d">
        <x:v>2026-10-22T06:00:00.000Z</x:v>
      </x:c>
      <x:c r="T85" s="14" t="e">
        <x:f>HYPERLINK("https://www.wamda.com/2022/02/udrive-raises-5million","wamda.com")</x:f>
        <x:v>HYPERLINK is not implemented. linkLocation=https://www.wamda.com/2022/02/udrive-raises-5million, friendlyName=wamda.com</x:v>
      </x:c>
      <x:c r="U85" s="14" t="str">
        <x:v>https://www.tahawultech.com/wp-content/uploads/2015/09/cnme_20230828-1.pdf
https://www.wamda.com/2022/02/udrive-raises-5million
https://www.thenationalnews.com/business/technology/generation-start-up-udrive-revs-up-again-after-pandemic-induced-speed-bump-1.1165093</x:v>
      </x:c>
      <x:c r="V85" s="14" t="e">
        <x:f>HYPERLINK("https://www.wamda.com/2022/02/udrive-raises-5million","wamda.com")</x:f>
        <x:v>HYPERLINK is not implemented. linkLocation=https://www.wamda.com/2022/02/udrive-raises-5million, friendlyName=wamda.com</x:v>
      </x:c>
      <x:c r="W85" s="14" t="e">
        <x:f>HYPERLINK("https://subscribe.udrive.ae/contact-us","subscribe.udrive.ae")</x:f>
        <x:v>HYPERLINK is not implemented. linkLocation=https://subscribe.udrive.ae/contact-us, friendlyName=subscribe.udrive.ae</x:v>
      </x:c>
      <x:c r="X85" s="14" t="e">
        <x:f>HYPERLINK("https://support.udrive.ae/en/support/solutions/articles/77000576651-how-do-i-resubmit-my-documents-","support.udrive.ae")</x:f>
        <x:v>HYPERLINK is not implemented. linkLocation=https://support.udrive.ae/en/support/solutions/articles/77000576651-how-do-i-resubmit-my-documents-, friendlyName=support.udrive.ae</x:v>
      </x:c>
      <x:c r="Y85" s="14" t="e">
        <x:f>HYPERLINK("https://udrive.ae/contact-us","udrive.ae")</x:f>
        <x:v>HYPERLINK is not implemented. linkLocation=https://udrive.ae/contact-us, friendlyName=udrive.ae</x:v>
      </x:c>
      <x:c r="Z85" s="6" t="str">
        <x:v>موقع الجهة أو قناة مرتبطة بها</x:v>
      </x:c>
      <x:c r="AA85" s="6" t="str">
        <x:v>موقع الجهة أو قناة مرتبطة بها</x:v>
      </x:c>
    </x:row>
    <x:row r="86" ht="45" customHeight="1">
      <x:c r="A86" s="10" t="str">
        <x:v>S081</x:v>
      </x:c>
      <x:c r="B86" s="6" t="str">
        <x:v>ekar</x:v>
      </x:c>
      <x:c r="C86" s="6" t="str">
        <x:v>دبي</x:v>
      </x:c>
      <x:c r="D86" s="6" t="str">
        <x:v>مشاركة السيارات</x:v>
      </x:c>
      <x:c r="E86" s="6" t="n">
        <x:v>2016</x:v>
      </x:c>
      <x:c r="F86" s="6" t="str">
        <x:v>Vilhelm Hedberg; Ravi Bhusari</x:v>
      </x:c>
      <x:c r="G86" s="6" t="str">
        <x:v>help@ekar.me</x:v>
      </x:c>
      <x:c r="H86" s="6" t="str">
        <x:v>600 567564</x:v>
      </x:c>
      <x:c r="I86" s="6" t="str">
        <x:v>دعم / خدمة عملاء؛ اطلب التحويل</x:v>
      </x:c>
      <x:c r="J86" s="14" t="e">
        <x:f>HYPERLINK("https://ekar.me","ekar.me")</x:f>
        <x:v>HYPERLINK is not implemented. linkLocation=https://ekar.me, friendlyName=ekar.me</x:v>
      </x:c>
      <x:c r="K86" s="6" t="str">
        <x:v>غير مؤكد من المصادر المراجعة</x:v>
      </x:c>
      <x:c r="L86" s="6" t="str">
        <x:v>Series A</x:v>
      </x:c>
      <x:c r="M86" s="12" t="str">
        <x:v>غير متاح في المصادر المراجعة</x:v>
      </x:c>
      <x:c r="N86" s="6" t="str">
        <x:v>غير متاح في المصادر المراجعة</x:v>
      </x:c>
      <x:c r="O86" s="6" t="str">
        <x:v>لا تتوافر قيمة واضحة في المصدر المراجع</x:v>
      </x:c>
      <x:c r="P86" s="13" t="str">
        <x:v>لم يتم التواصل</x:v>
      </x:c>
      <x:c r="Q86" s="6" t="str">
        <x:v>تأكيد بيانات الشركة واحتياجها للتمويل / المشاركة</x:v>
      </x:c>
      <x:c r="R86" s="6" t="str"/>
      <x:c r="S86" s="11" t="d">
        <x:v>2026-10-22T06:00:00.000Z</x:v>
      </x:c>
      <x:c r="T86" s="14" t="e">
        <x:f>HYPERLINK("https://www.crunchbase.com/organization/ekar","crunchbase.com")</x:f>
        <x:v>HYPERLINK is not implemented. linkLocation=https://www.crunchbase.com/organization/ekar, friendlyName=crunchbase.com</x:v>
      </x:c>
      <x:c r="U86" s="14" t="str">
        <x:v>https://www.crunchbase.com/organization/ekar
https://www.thenationalnews.com/business/technology/generation-start-up-uae-s-ekar-drives-car-share-sector-at-top-speed-1.893936
https://yourstory.com/companies/ekar</x:v>
      </x:c>
      <x:c r="V86" s="14" t="e">
        <x:f>HYPERLINK("https://www.thenationalnews.com/business/technology/generation-start-up-uae-s-ekar-drives-car-share-sector-at-top-speed-1.893936","thenationalnews.com")</x:f>
        <x:v>HYPERLINK is not implemented. linkLocation=https://www.thenationalnews.com/business/technology/generation-start-up-uae-s-ekar-drives-car-share-sector-at-top-speed-1.893936, friendlyName=thenationalnews.com</x:v>
      </x:c>
      <x:c r="W86" s="14" t="e">
        <x:f>HYPERLINK("https://play.google.com/store/apps/details?hl=en_NZ&amp;id=ae.ekar","play.google.com")</x:f>
        <x:v>HYPERLINK is not implemented. linkLocation=https://play.google.com/store/apps/details?hl=en_NZ&amp;id=ae.ekar, friendlyName=play.google.com</x:v>
      </x:c>
      <x:c r="X86" s="14" t="e">
        <x:f>HYPERLINK("https://www.dubaireview.ae/listing/ekar/","dubaireview.ae")</x:f>
        <x:v>HYPERLINK is not implemented. linkLocation=https://www.dubaireview.ae/listing/ekar/, friendlyName=dubaireview.ae</x:v>
      </x:c>
      <x:c r="Y86" s="14" t="e">
        <x:f>HYPERLINK("https://www.crunchbase.com/organization/ekar","crunchbase.com")</x:f>
        <x:v>HYPERLINK is not implemented. linkLocation=https://www.crunchbase.com/organization/ekar, friendlyName=crunchbase.com</x:v>
      </x:c>
      <x:c r="Z86" s="6" t="str">
        <x:v>قائمة تطبيق ينشرها المطور</x:v>
      </x:c>
      <x:c r="AA86" s="6" t="str">
        <x:v>مصدر ثانوي؛ يلزم تأكيد مباشر</x:v>
      </x:c>
    </x:row>
    <x:row r="87" ht="45" customHeight="1">
      <x:c r="A87" s="10" t="str">
        <x:v>S082</x:v>
      </x:c>
      <x:c r="B87" s="6" t="str">
        <x:v>Pemo</x:v>
      </x:c>
      <x:c r="C87" s="6" t="str">
        <x:v>دبي</x:v>
      </x:c>
      <x:c r="D87" s="6" t="str">
        <x:v>إدارة المصروفات</x:v>
      </x:c>
      <x:c r="E87" s="6" t="str">
        <x:v>غير متاح في المصادر المراجعة</x:v>
      </x:c>
      <x:c r="F87" s="6" t="str">
        <x:v>Ayham Gorani; Valerie Konde; Alessandro Duri; Saed Ghorani</x:v>
      </x:c>
      <x:c r="G87" s="6" t="str">
        <x:v>support@pemo.io</x:v>
      </x:c>
      <x:c r="H87" s="6" t="str">
        <x:v>غير متاح في المصادر المراجعة</x:v>
      </x:c>
      <x:c r="I87" s="6" t="str">
        <x:v>دعم / خدمة عملاء؛ اطلب التحويل</x:v>
      </x:c>
      <x:c r="J87" s="14" t="e">
        <x:f>HYPERLINK("https://pemo.io","pemo.io")</x:f>
        <x:v>HYPERLINK is not implemented. linkLocation=https://pemo.io, friendlyName=pemo.io</x:v>
      </x:c>
      <x:c r="K87" s="6" t="str">
        <x:v>غير مؤكد من المصادر المراجعة</x:v>
      </x:c>
      <x:c r="L87" s="6" t="str">
        <x:v>Pre-Series A</x:v>
      </x:c>
      <x:c r="M87" s="12" t="n">
        <x:v>7000000</x:v>
      </x:c>
      <x:c r="N87" s="6" t="str">
        <x:v>غير متاح في المصادر المراجعة</x:v>
      </x:c>
      <x:c r="O87" s="6" t="str">
        <x:v>عنوان الإعلان يذكر 7 ملايين؛ رابط الصفحة يحتوي رقمًا مختلفًا</x:v>
      </x:c>
      <x:c r="P87" s="13" t="str">
        <x:v>لم يتم التواصل</x:v>
      </x:c>
      <x:c r="Q87" s="6" t="str">
        <x:v>تأكيد بيانات الشركة واحتياجها للتمويل / المشاركة</x:v>
      </x:c>
      <x:c r="R87" s="6" t="str">
        <x:v>قيمة الجولة حسب عنوان الإعلان؛ مسار الرابط يحمل رقماً مختلفاً.</x:v>
      </x:c>
      <x:c r="S87" s="11" t="d">
        <x:v>2026-10-22T06:00:00.000Z</x:v>
      </x:c>
      <x:c r="T87" s="14" t="e">
        <x:f>HYPERLINK("https://help.pemo.io/en/articles/11675029-answers-to-your-pemo-questions","help.pemo.io")</x:f>
        <x:v>HYPERLINK is not implemented. linkLocation=https://help.pemo.io/en/articles/11675029-answers-to-your-pemo-questions, friendlyName=help.pemo.io</x:v>
      </x:c>
      <x:c r="U87" s="14" t="str">
        <x:v>https://www.businessoutreach.in/wp-content/uploads/2024/11/November-Funding-Report-Dubai.pdf
https://www.pemo.io/press-rooms/pemo-hits-aed-1-4bn-in-transactions-secures-6-5m-in-pre-series-a-led-by-augmentum-fintech-and-shorooq
https://www.forbesmiddleeast.com/lists/the-middle-easts-fintech-50-2025/pemo/</x:v>
      </x:c>
      <x:c r="V87" s="14" t="e">
        <x:f>HYPERLINK("https://www.pemo.io/press-rooms/pemo-hits-aed-1-4bn-in-transactions-secures-6-5m-in-pre-series-a-led-by-augmentum-fintech-and-shorooq","pemo.io")</x:f>
        <x:v>HYPERLINK is not implemented. linkLocation=https://www.pemo.io/press-rooms/pemo-hits-aed-1-4bn-in-transactions-secures-6-5m-in-pre-series-a-led-by-augmentum-fintech-and-shorooq, friendlyName=pemo.io</x:v>
      </x:c>
      <x:c r="W87" s="14" t="e">
        <x:f>HYPERLINK("https://www.pemo.io/ar-ae/contact-us","pemo.io")</x:f>
        <x:v>HYPERLINK is not implemented. linkLocation=https://www.pemo.io/ar-ae/contact-us, friendlyName=pemo.io</x:v>
      </x:c>
      <x:c r="X87" s="14" t="str">
        <x:v>غير متاح في المصادر المراجعة</x:v>
      </x:c>
      <x:c r="Y87" s="14" t="e">
        <x:f>HYPERLINK("https://www.pemo.io/ar-ae/contact-us","pemo.io")</x:f>
        <x:v>HYPERLINK is not implemented. linkLocation=https://www.pemo.io/ar-ae/contact-us, friendlyName=pemo.io</x:v>
      </x:c>
      <x:c r="Z87" s="6" t="str">
        <x:v>موقع الجهة أو قناة مرتبطة بها</x:v>
      </x:c>
      <x:c r="AA87" s="6" t="str">
        <x:v>غير متاح في المصادر المراجعة</x:v>
      </x:c>
    </x:row>
    <x:row r="88" ht="45" customHeight="1">
      <x:c r="A88" s="10" t="str">
        <x:v>S083</x:v>
      </x:c>
      <x:c r="B88" s="6" t="str">
        <x:v>Selfdrive</x:v>
      </x:c>
      <x:c r="C88" s="6" t="str">
        <x:v>دبي</x:v>
      </x:c>
      <x:c r="D88" s="6" t="str">
        <x:v>التنقل</x:v>
      </x:c>
      <x:c r="E88" s="6" t="str">
        <x:v>غير متاح في المصادر المراجعة</x:v>
      </x:c>
      <x:c r="F88" s="6" t="str">
        <x:v>Soham Shah</x:v>
      </x:c>
      <x:c r="G88" s="6" t="str">
        <x:v>info@selfdrive.ae</x:v>
      </x:c>
      <x:c r="H88" s="6" t="str">
        <x:v>+971 4 573 3500</x:v>
      </x:c>
      <x:c r="I88" s="6" t="str">
        <x:v>استفسارات عامة</x:v>
      </x:c>
      <x:c r="J88" s="14" t="e">
        <x:f>HYPERLINK("https://selfdrive.ae","selfdrive.ae")</x:f>
        <x:v>HYPERLINK is not implemented. linkLocation=https://selfdrive.ae, friendlyName=selfdrive.ae</x:v>
      </x:c>
      <x:c r="K88" s="6" t="str">
        <x:v>غير مؤكد من المصادر المراجعة</x:v>
      </x:c>
      <x:c r="L88" s="6" t="str">
        <x:v>غير متاح في المصادر المراجعة</x:v>
      </x:c>
      <x:c r="M88" s="12" t="str">
        <x:v>غير متاح في المصادر المراجعة</x:v>
      </x:c>
      <x:c r="N88" s="6" t="str">
        <x:v>غير متاح في المصادر المراجعة</x:v>
      </x:c>
      <x:c r="O88" s="6" t="str">
        <x:v>لا توجد جولة محددة موثقة ضمن هذه المراجعة</x:v>
      </x:c>
      <x:c r="P88" s="13" t="str">
        <x:v>لم يتم التواصل</x:v>
      </x:c>
      <x:c r="Q88" s="6" t="str">
        <x:v>تأكيد بيانات الشركة واحتياجها للتمويل / المشاركة</x:v>
      </x:c>
      <x:c r="R88" s="6" t="str"/>
      <x:c r="S88" s="11" t="d">
        <x:v>2026-10-22T06:00:00.000Z</x:v>
      </x:c>
      <x:c r="T88" s="14" t="e">
        <x:f>HYPERLINK("https://www.selfdrive.ae/contactus.php","selfdrive.ae")</x:f>
        <x:v>HYPERLINK is not implemented. linkLocation=https://www.selfdrive.ae/contactus.php, friendlyName=selfdrive.ae</x:v>
      </x:c>
      <x:c r="U88" s="14" t="str">
        <x:v>https://www.crunchbase.com/organization/selfdrive-ae
https://www.khaleejtimes.com/business/selfdrive-launches-new-car-subscription-service
https://www.thenationalnews.com/business/money/2021/12/16/money-me-discussing-money-openly-as-a-family-makes-financial-decisions-easier/</x:v>
      </x:c>
      <x:c r="V88" s="14" t="str">
        <x:v>غير متاح في المصادر المراجعة</x:v>
      </x:c>
      <x:c r="W88" s="14" t="e">
        <x:f>HYPERLINK("https://www.selfdrive.ae/contactus.php","selfdrive.ae")</x:f>
        <x:v>HYPERLINK is not implemented. linkLocation=https://www.selfdrive.ae/contactus.php, friendlyName=selfdrive.ae</x:v>
      </x:c>
      <x:c r="X88" s="14" t="e">
        <x:f>HYPERLINK("https://www.selfdrive.ae/contactus.php","selfdrive.ae")</x:f>
        <x:v>HYPERLINK is not implemented. linkLocation=https://www.selfdrive.ae/contactus.php, friendlyName=selfdrive.ae</x:v>
      </x:c>
      <x:c r="Y88" s="14" t="e">
        <x:f>HYPERLINK("https://www.selfdrive.ae/contactus.php","selfdrive.ae")</x:f>
        <x:v>HYPERLINK is not implemented. linkLocation=https://www.selfdrive.ae/contactus.php, friendlyName=selfdrive.ae</x:v>
      </x:c>
      <x:c r="Z88" s="6" t="str">
        <x:v>موقع الجهة أو قناة مرتبطة بها</x:v>
      </x:c>
      <x:c r="AA88" s="6" t="str">
        <x:v>موقع الجهة أو قناة مرتبطة بها</x:v>
      </x:c>
    </x:row>
    <x:row r="89" ht="45" customHeight="1">
      <x:c r="A89" s="10" t="str">
        <x:v>S084</x:v>
      </x:c>
      <x:c r="B89" s="6" t="str">
        <x:v>AlgoDriven</x:v>
      </x:c>
      <x:c r="C89" s="6" t="str">
        <x:v>دبي</x:v>
      </x:c>
      <x:c r="D89" s="6" t="str">
        <x:v>تقنية السيارات</x:v>
      </x:c>
      <x:c r="E89" s="6" t="str">
        <x:v>غير متاح في المصادر المراجعة</x:v>
      </x:c>
      <x:c r="F89" s="6" t="str">
        <x:v>Glenn Harwood; Jaron Crossland</x:v>
      </x:c>
      <x:c r="G89" s="6" t="str">
        <x:v>sales@algodriven.xyz</x:v>
      </x:c>
      <x:c r="H89" s="6" t="str">
        <x:v>غير متاح في المصادر المراجعة</x:v>
      </x:c>
      <x:c r="I89" s="6" t="str">
        <x:v>أعمال / مبيعات / تمويل</x:v>
      </x:c>
      <x:c r="J89" s="14" t="e">
        <x:f>HYPERLINK("https://algodriven.co","algodriven.co")</x:f>
        <x:v>HYPERLINK is not implemented. linkLocation=https://algodriven.co, friendlyName=algodriven.co</x:v>
      </x:c>
      <x:c r="K89" s="6" t="str">
        <x:v>غير مؤكد من المصادر المراجعة</x:v>
      </x:c>
      <x:c r="L89" s="6" t="str">
        <x:v>Series A</x:v>
      </x:c>
      <x:c r="M89" s="12" t="n">
        <x:v>2000000</x:v>
      </x:c>
      <x:c r="N89" s="6" t="str">
        <x:v>2021-10-07</x:v>
      </x:c>
      <x:c r="O89" s="6" t="str">
        <x:v>جولة تاريخية</x:v>
      </x:c>
      <x:c r="P89" s="13" t="str">
        <x:v>لم يتم التواصل</x:v>
      </x:c>
      <x:c r="Q89" s="6" t="str">
        <x:v>تأكيد بيانات الشركة واحتياجها للتمويل / المشاركة</x:v>
      </x:c>
      <x:c r="R89" s="6" t="str"/>
      <x:c r="S89" s="11" t="d">
        <x:v>2026-10-22T06:00:00.000Z</x:v>
      </x:c>
      <x:c r="T89" s="14" t="e">
        <x:f>HYPERLINK("https://algodriven.co/contact-us/","algodriven.co")</x:f>
        <x:v>HYPERLINK is not implemented. linkLocation=https://algodriven.co/contact-us/, friendlyName=algodriven.co</x:v>
      </x:c>
      <x:c r="U89" s="14" t="str">
        <x:v>https://www.gulf-insider.com/wp-content/uploads/2024/08/APRIL-2024.pdf
https://www.thenationalnews.com/business/start-ups/2021/10/07/uae-tech-start-up-algodriven-raises-2m-in-series-a-funding/
https://dtec.ae/ventures/news/magnitt-uae-based-automotive-data-platform-algodriven-raises-2m-series-a/</x:v>
      </x:c>
      <x:c r="V89" s="14" t="e">
        <x:f>HYPERLINK("https://www.thenationalnews.com/business/start-ups/2021/10/07/uae-tech-start-up-algodriven-raises-2m-in-series-a-funding/","thenationalnews.com")</x:f>
        <x:v>HYPERLINK is not implemented. linkLocation=https://www.thenationalnews.com/business/start-ups/2021/10/07/uae-tech-start-up-algodriven-raises-2m-in-series-a-funding/, friendlyName=thenationalnews.com</x:v>
      </x:c>
      <x:c r="W89" s="14" t="e">
        <x:f>HYPERLINK("https://algodriven.co/contact-us/","algodriven.co")</x:f>
        <x:v>HYPERLINK is not implemented. linkLocation=https://algodriven.co/contact-us/, friendlyName=algodriven.co</x:v>
      </x:c>
      <x:c r="X89" s="14" t="str">
        <x:v>غير متاح في المصادر المراجعة</x:v>
      </x:c>
      <x:c r="Y89" s="14" t="e">
        <x:f>HYPERLINK("https://algodriven.co/contact-us/","algodriven.co")</x:f>
        <x:v>HYPERLINK is not implemented. linkLocation=https://algodriven.co/contact-us/, friendlyName=algodriven.co</x:v>
      </x:c>
      <x:c r="Z89" s="6" t="str">
        <x:v>موقع الجهة أو قناة مرتبطة بها</x:v>
      </x:c>
      <x:c r="AA89" s="6" t="str">
        <x:v>غير متاح في المصادر المراجعة</x:v>
      </x:c>
    </x:row>
    <x:row r="90" ht="45" customHeight="1">
      <x:c r="A90" s="10" t="str">
        <x:v>S085</x:v>
      </x:c>
      <x:c r="B90" s="6" t="str">
        <x:v>Carasti</x:v>
      </x:c>
      <x:c r="C90" s="6" t="str">
        <x:v>دبي</x:v>
      </x:c>
      <x:c r="D90" s="6" t="str">
        <x:v>الاشتراك بالسيارات</x:v>
      </x:c>
      <x:c r="E90" s="6" t="n">
        <x:v>2019</x:v>
      </x:c>
      <x:c r="F90" s="6" t="str">
        <x:v>غير متاح في المصادر المراجعة</x:v>
      </x:c>
      <x:c r="G90" s="6" t="str">
        <x:v>info@carasti.com</x:v>
      </x:c>
      <x:c r="H90" s="6" t="str">
        <x:v>+971 4 569 5600</x:v>
      </x:c>
      <x:c r="I90" s="6" t="str">
        <x:v>استفسارات عامة</x:v>
      </x:c>
      <x:c r="J90" s="14" t="e">
        <x:f>HYPERLINK("https://carasti.com","carasti.com")</x:f>
        <x:v>HYPERLINK is not implemented. linkLocation=https://carasti.com, friendlyName=carasti.com</x:v>
      </x:c>
      <x:c r="K90" s="6" t="str">
        <x:v>غير مؤكد من المصادر المراجعة</x:v>
      </x:c>
      <x:c r="L90" s="6" t="str">
        <x:v>Pre-Series A</x:v>
      </x:c>
      <x:c r="M90" s="12" t="n">
        <x:v>3000000</x:v>
      </x:c>
      <x:c r="N90" s="6" t="str">
        <x:v>2021-04-18</x:v>
      </x:c>
      <x:c r="O90" s="6" t="str">
        <x:v>جولة تاريخية</x:v>
      </x:c>
      <x:c r="P90" s="13" t="str">
        <x:v>لم يتم التواصل</x:v>
      </x:c>
      <x:c r="Q90" s="6" t="str">
        <x:v>تأكيد بيانات الشركة واحتياجها للتمويل / المشاركة</x:v>
      </x:c>
      <x:c r="R90" s="6" t="str"/>
      <x:c r="S90" s="11" t="d">
        <x:v>2026-10-22T06:00:00.000Z</x:v>
      </x:c>
      <x:c r="T90" s="14" t="e">
        <x:f>HYPERLINK("https://prospeo.io/c/carasti-car-subscriptions","prospeo.io")</x:f>
        <x:v>HYPERLINK is not implemented. linkLocation=https://prospeo.io/c/carasti-car-subscriptions, friendlyName=prospeo.io</x:v>
      </x:c>
      <x:c r="U90" s="14" t="str">
        <x:v>غير متاح في المصادر المراجعة</x:v>
      </x:c>
      <x:c r="V90" s="14" t="e">
        <x:f>HYPERLINK("https://www.wamda.com/index.php/2021/04/carasti-raises-3-million-pre-series","wamda.com")</x:f>
        <x:v>HYPERLINK is not implemented. linkLocation=https://www.wamda.com/index.php/2021/04/carasti-raises-3-million-pre-series, friendlyName=wamda.com</x:v>
      </x:c>
      <x:c r="W90" s="14" t="e">
        <x:f>HYPERLINK("https://carasti.com/AE/en/contact-us","carasti.com")</x:f>
        <x:v>HYPERLINK is not implemented. linkLocation=https://carasti.com/AE/en/contact-us, friendlyName=carasti.com</x:v>
      </x:c>
      <x:c r="X90" s="14" t="e">
        <x:f>HYPERLINK("https://carasti.com/AE/en/contact-us","carasti.com")</x:f>
        <x:v>HYPERLINK is not implemented. linkLocation=https://carasti.com/AE/en/contact-us, friendlyName=carasti.com</x:v>
      </x:c>
      <x:c r="Y90" s="14" t="e">
        <x:f>HYPERLINK("https://carasti.com/AE/en/contact-us","carasti.com")</x:f>
        <x:v>HYPERLINK is not implemented. linkLocation=https://carasti.com/AE/en/contact-us, friendlyName=carasti.com</x:v>
      </x:c>
      <x:c r="Z90" s="6" t="str">
        <x:v>موقع الجهة أو قناة مرتبطة بها</x:v>
      </x:c>
      <x:c r="AA90" s="6" t="str">
        <x:v>موقع الجهة أو قناة مرتبطة بها</x:v>
      </x:c>
    </x:row>
    <x:row r="91" ht="45" customHeight="1">
      <x:c r="A91" s="10" t="str">
        <x:v>S086</x:v>
      </x:c>
      <x:c r="B91" s="6" t="str">
        <x:v>invygo</x:v>
      </x:c>
      <x:c r="C91" s="6" t="str">
        <x:v>دبي</x:v>
      </x:c>
      <x:c r="D91" s="6" t="str">
        <x:v>الاشتراك بالسيارات</x:v>
      </x:c>
      <x:c r="E91" s="6" t="str">
        <x:v>غير متاح في المصادر المراجعة</x:v>
      </x:c>
      <x:c r="F91" s="6" t="str">
        <x:v>Eslam Ahmed Hussein; Pulkit Ganjoo</x:v>
      </x:c>
      <x:c r="G91" s="6" t="str">
        <x:v>support@invygo.com</x:v>
      </x:c>
      <x:c r="H91" s="6" t="str">
        <x:v>+971 4 215 6624</x:v>
      </x:c>
      <x:c r="I91" s="6" t="str">
        <x:v>دعم / خدمة عملاء؛ اطلب التحويل</x:v>
      </x:c>
      <x:c r="J91" s="14" t="e">
        <x:f>HYPERLINK("https://invygo.com","invygo.com")</x:f>
        <x:v>HYPERLINK is not implemented. linkLocation=https://invygo.com, friendlyName=invygo.com</x:v>
      </x:c>
      <x:c r="K91" s="6" t="str">
        <x:v>غير مؤكد من المصادر المراجعة</x:v>
      </x:c>
      <x:c r="L91" s="6" t="str">
        <x:v>Series A</x:v>
      </x:c>
      <x:c r="M91" s="12" t="n">
        <x:v>10000000</x:v>
      </x:c>
      <x:c r="N91" s="6" t="str">
        <x:v>2022-10-31</x:v>
      </x:c>
      <x:c r="O91" s="6" t="str">
        <x:v>جولة تاريخية</x:v>
      </x:c>
      <x:c r="P91" s="13" t="str">
        <x:v>لم يتم التواصل</x:v>
      </x:c>
      <x:c r="Q91" s="6" t="str">
        <x:v>تأكيد بيانات الشركة واحتياجها للتمويل / المشاركة</x:v>
      </x:c>
      <x:c r="R91" s="6" t="str"/>
      <x:c r="S91" s="11" t="d">
        <x:v>2026-10-22T06:00:00.000Z</x:v>
      </x:c>
      <x:c r="T91" s="14" t="e">
        <x:f>HYPERLINK("https://www.invygo.com/en-ae/tc-mobile","invygo.com")</x:f>
        <x:v>HYPERLINK is not implemented. linkLocation=https://www.invygo.com/en-ae/tc-mobile, friendlyName=invygo.com</x:v>
      </x:c>
      <x:c r="U91" s="14" t="str">
        <x:v>https://techcrunch.com/2022/10/31/invygo-raises-10m-to-make-long-term-car-subscription-a-breeze/
https://www.thenationalnews.com/business/technology/generation-start-up-invygo-offers-drivers-a-car-without-the-commitment-1.962867
https://www.thenationalnews.com/business/2021/08/17/middle-east-car-subscription-start-up-invygo-raises-19m/</x:v>
      </x:c>
      <x:c r="V91" s="14" t="e">
        <x:f>HYPERLINK("https://techcrunch.com/2022/10/31/invygo-raises-10m-to-make-long-term-car-subscription-a-breeze/","techcrunch.com")</x:f>
        <x:v>HYPERLINK is not implemented. linkLocation=https://techcrunch.com/2022/10/31/invygo-raises-10m-to-make-long-term-car-subscription-a-breeze/, friendlyName=techcrunch.com</x:v>
      </x:c>
      <x:c r="W91" s="14" t="e">
        <x:f>HYPERLINK("https://www.invygo.com/en-ae/tc-mobile","invygo.com")</x:f>
        <x:v>HYPERLINK is not implemented. linkLocation=https://www.invygo.com/en-ae/tc-mobile, friendlyName=invygo.com</x:v>
      </x:c>
      <x:c r="X91" s="14" t="e">
        <x:f>HYPERLINK("https://www.decypha.com/en/company-list/Invygo-Tech-FZ-L-L-C-194620","decypha.com")</x:f>
        <x:v>HYPERLINK is not implemented. linkLocation=https://www.decypha.com/en/company-list/Invygo-Tech-FZ-L-L-C-194620, friendlyName=decypha.com</x:v>
      </x:c>
      <x:c r="Y91" s="14" t="e">
        <x:f>HYPERLINK("https://www.invygo.com/en-ae/tc-mobile","invygo.com")</x:f>
        <x:v>HYPERLINK is not implemented. linkLocation=https://www.invygo.com/en-ae/tc-mobile, friendlyName=invygo.com</x:v>
      </x:c>
      <x:c r="Z91" s="6" t="str">
        <x:v>موقع الجهة أو قناة مرتبطة بها</x:v>
      </x:c>
      <x:c r="AA91" s="6" t="str">
        <x:v>مصدر ثانوي؛ يلزم تأكيد مباشر</x:v>
      </x:c>
    </x:row>
    <x:row r="92" ht="45" customHeight="1">
      <x:c r="A92" s="10" t="str">
        <x:v>S087</x:v>
      </x:c>
      <x:c r="B92" s="6" t="str">
        <x:v>YallaMarket</x:v>
      </x:c>
      <x:c r="C92" s="6" t="str">
        <x:v>دبي</x:v>
      </x:c>
      <x:c r="D92" s="6" t="str">
        <x:v>التجارة السريعة</x:v>
      </x:c>
      <x:c r="E92" s="6" t="str">
        <x:v>غير متاح في المصادر المراجعة</x:v>
      </x:c>
      <x:c r="F92" s="6" t="str">
        <x:v>Leo Dovbenko</x:v>
      </x:c>
      <x:c r="G92" s="6" t="str">
        <x:v>support@yallamart.ae</x:v>
      </x:c>
      <x:c r="H92" s="6" t="str">
        <x:v>+971 52 307 1161</x:v>
      </x:c>
      <x:c r="I92" s="6" t="str">
        <x:v>دعم / خدمة عملاء؛ اطلب التحويل</x:v>
      </x:c>
      <x:c r="J92" s="14" t="e">
        <x:f>HYPERLINK("https://yallamarket.ae","yallamarket.ae")</x:f>
        <x:v>HYPERLINK is not implemented. linkLocation=https://yallamarket.ae, friendlyName=yallamarket.ae</x:v>
      </x:c>
      <x:c r="K92" s="6" t="str">
        <x:v>غير مؤكد من المصادر المراجعة</x:v>
      </x:c>
      <x:c r="L92" s="6" t="str">
        <x:v>Bridge</x:v>
      </x:c>
      <x:c r="M92" s="12" t="n">
        <x:v>2200000</x:v>
      </x:c>
      <x:c r="N92" s="6" t="str">
        <x:v>2022-02-13</x:v>
      </x:c>
      <x:c r="O92" s="6" t="str">
        <x:v>جولة جسرية تاريخية</x:v>
      </x:c>
      <x:c r="P92" s="13" t="str">
        <x:v>لم يتم التواصل</x:v>
      </x:c>
      <x:c r="Q92" s="6" t="str">
        <x:v>تأكيد بيانات الشركة واحتياجها للتمويل / المشاركة</x:v>
      </x:c>
      <x:c r="R92" s="6" t="str"/>
      <x:c r="S92" s="11" t="d">
        <x:v>2026-10-22T06:00:00.000Z</x:v>
      </x:c>
      <x:c r="T92" s="14" t="e">
        <x:f>HYPERLINK("https://apprecs.com/android/ae.yallamart.userapp/yallamarket-grocery-delivery","apprecs.com")</x:f>
        <x:v>HYPERLINK is not implemented. linkLocation=https://apprecs.com/android/ae.yallamart.userapp/yallamarket-grocery-delivery, friendlyName=apprecs.com</x:v>
      </x:c>
      <x:c r="U92" s="14" t="str">
        <x:v>https://www.wamda.com/index.php/2022/02/yallamarket-raises-2-million-bridge-round
https://app.dealroom.co/companies/yallamarket
https://www.wamda.com/index.php/en/2021/11/yallamarket-2-3-million-pre-seed-rapid-rise-quick-commerce</x:v>
      </x:c>
      <x:c r="V92" s="14" t="e">
        <x:f>HYPERLINK("https://www.wamda.com/index.php/2022/02/yallamarket-raises-2-million-bridge-round","wamda.com")</x:f>
        <x:v>HYPERLINK is not implemented. linkLocation=https://www.wamda.com/index.php/2022/02/yallamarket-raises-2-million-bridge-round, friendlyName=wamda.com</x:v>
      </x:c>
      <x:c r="W92" s="14" t="e">
        <x:f>HYPERLINK("https://apprecs.com/android/ae.yallamart.userapp/yallamarket-grocery-delivery","apprecs.com")</x:f>
        <x:v>HYPERLINK is not implemented. linkLocation=https://apprecs.com/android/ae.yallamart.userapp/yallamarket-grocery-delivery, friendlyName=apprecs.com</x:v>
      </x:c>
      <x:c r="X92" s="14" t="e">
        <x:f>HYPERLINK("https://www.yello.ae/company/368060/yallamarket?amp=1","yello.ae")</x:f>
        <x:v>HYPERLINK is not implemented. linkLocation=https://www.yello.ae/company/368060/yallamarket?amp=1, friendlyName=yello.ae</x:v>
      </x:c>
      <x:c r="Y92" s="14" t="e">
        <x:f>HYPERLINK("https://apprecs.com/android/ae.yallamart.userapp/yallamarket-grocery-delivery","apprecs.com")</x:f>
        <x:v>HYPERLINK is not implemented. linkLocation=https://apprecs.com/android/ae.yallamart.userapp/yallamarket-grocery-delivery, friendlyName=apprecs.com</x:v>
      </x:c>
      <x:c r="Z92" s="6" t="str">
        <x:v>مصدر ثانوي؛ يلزم تأكيد مباشر</x:v>
      </x:c>
      <x:c r="AA92" s="6" t="str">
        <x:v>مصدر ثانوي؛ يلزم تأكيد مباشر</x:v>
      </x:c>
    </x:row>
    <x:row r="93" ht="45" customHeight="1">
      <x:c r="A93" s="10" t="str">
        <x:v>S088</x:v>
      </x:c>
      <x:c r="B93" s="6" t="str">
        <x:v>Cartlow</x:v>
      </x:c>
      <x:c r="C93" s="6" t="str">
        <x:v>دبي</x:v>
      </x:c>
      <x:c r="D93" s="6" t="str">
        <x:v>التجارة الدائرية</x:v>
      </x:c>
      <x:c r="E93" s="6" t="n">
        <x:v>2019</x:v>
      </x:c>
      <x:c r="F93" s="6" t="str">
        <x:v>غير متاح في المصادر المراجعة</x:v>
      </x:c>
      <x:c r="G93" s="6" t="str">
        <x:v>hello@cartlow.com</x:v>
      </x:c>
      <x:c r="H93" s="6" t="str">
        <x:v>+971 4 561 6814</x:v>
      </x:c>
      <x:c r="I93" s="6" t="str">
        <x:v>استفسارات عامة</x:v>
      </x:c>
      <x:c r="J93" s="14" t="e">
        <x:f>HYPERLINK("https://cartlow.com","cartlow.com")</x:f>
        <x:v>HYPERLINK is not implemented. linkLocation=https://cartlow.com, friendlyName=cartlow.com</x:v>
      </x:c>
      <x:c r="K93" s="6" t="str">
        <x:v>غير مؤكد من المصادر المراجعة</x:v>
      </x:c>
      <x:c r="L93" s="6" t="str">
        <x:v>غير متاح في المصادر المراجعة</x:v>
      </x:c>
      <x:c r="M93" s="12" t="str">
        <x:v>غير متاح في المصادر المراجعة</x:v>
      </x:c>
      <x:c r="N93" s="6" t="str">
        <x:v>غير متاح في المصادر المراجعة</x:v>
      </x:c>
      <x:c r="O93" s="6" t="str">
        <x:v>لا توجد جولة محددة موثقة ضمن هذه المراجعة</x:v>
      </x:c>
      <x:c r="P93" s="13" t="str">
        <x:v>لم يتم التواصل</x:v>
      </x:c>
      <x:c r="Q93" s="6" t="str">
        <x:v>تأكيد بيانات الشركة واحتياجها للتمويل / المشاركة</x:v>
      </x:c>
      <x:c r="R93" s="6" t="str"/>
      <x:c r="S93" s="11" t="d">
        <x:v>2026-10-22T06:00:00.000Z</x:v>
      </x:c>
      <x:c r="T93" s="14" t="e">
        <x:f>HYPERLINK("https://assets.entrepreneur.com/magazine/2022-08-entrepreneur-middle-east.pdf","assets.entrepreneur.com")</x:f>
        <x:v>HYPERLINK is not implemented. linkLocation=https://assets.entrepreneur.com/magazine/2022-08-entrepreneur-middle-east.pdf, friendlyName=assets.entrepreneur.com</x:v>
      </x:c>
      <x:c r="U93" s="14" t="str">
        <x:v>غير متاح في المصادر المراجعة</x:v>
      </x:c>
      <x:c r="V93" s="14" t="str">
        <x:v>غير متاح في المصادر المراجعة</x:v>
      </x:c>
      <x:c r="W93" s="14" t="e">
        <x:f>HYPERLINK("https://cartlow.com/seller/contact-us","cartlow.com")</x:f>
        <x:v>HYPERLINK is not implemented. linkLocation=https://cartlow.com/seller/contact-us, friendlyName=cartlow.com</x:v>
      </x:c>
      <x:c r="X93" s="14" t="e">
        <x:f>HYPERLINK("https://sustainability.cartlow.com/contact-us","sustainability.cartlow.com")</x:f>
        <x:v>HYPERLINK is not implemented. linkLocation=https://sustainability.cartlow.com/contact-us, friendlyName=sustainability.cartlow.com</x:v>
      </x:c>
      <x:c r="Y93" s="14" t="e">
        <x:f>HYPERLINK("https://sustainability.cartlow.com/contact-us","sustainability.cartlow.com")</x:f>
        <x:v>HYPERLINK is not implemented. linkLocation=https://sustainability.cartlow.com/contact-us, friendlyName=sustainability.cartlow.com</x:v>
      </x:c>
      <x:c r="Z93" s="6" t="str">
        <x:v>موقع الجهة أو قناة مرتبطة بها</x:v>
      </x:c>
      <x:c r="AA93" s="6" t="str">
        <x:v>موقع الجهة أو قناة مرتبطة بها</x:v>
      </x:c>
    </x:row>
    <x:row r="94" ht="45" customHeight="1">
      <x:c r="A94" s="10" t="str">
        <x:v>S089</x:v>
      </x:c>
      <x:c r="B94" s="6" t="str">
        <x:v>The Giving Movement</x:v>
      </x:c>
      <x:c r="C94" s="6" t="str">
        <x:v>دبي</x:v>
      </x:c>
      <x:c r="D94" s="6" t="str">
        <x:v>الأزياء المستدامة</x:v>
      </x:c>
      <x:c r="E94" s="6" t="n">
        <x:v>2020</x:v>
      </x:c>
      <x:c r="F94" s="6" t="str">
        <x:v>Dominic Nowell-Barnes</x:v>
      </x:c>
      <x:c r="G94" s="6" t="str">
        <x:v>team@thegivingmovement.com</x:v>
      </x:c>
      <x:c r="H94" s="6" t="str">
        <x:v>+971 600 523846</x:v>
      </x:c>
      <x:c r="I94" s="6" t="str">
        <x:v>استفسارات عامة</x:v>
      </x:c>
      <x:c r="J94" s="14" t="e">
        <x:f>HYPERLINK("https://thegivingmovement.com","thegivingmovement.com")</x:f>
        <x:v>HYPERLINK is not implemented. linkLocation=https://thegivingmovement.com, friendlyName=thegivingmovement.com</x:v>
      </x:c>
      <x:c r="K94" s="6" t="str">
        <x:v>غير مؤكد من المصادر المراجعة</x:v>
      </x:c>
      <x:c r="L94" s="6" t="str">
        <x:v>Series A</x:v>
      </x:c>
      <x:c r="M94" s="12" t="n">
        <x:v>15000000</x:v>
      </x:c>
      <x:c r="N94" s="6" t="str">
        <x:v>2022</x:v>
      </x:c>
      <x:c r="O94" s="6" t="str">
        <x:v>استثمار معلن</x:v>
      </x:c>
      <x:c r="P94" s="13" t="str">
        <x:v>لم يتم التواصل</x:v>
      </x:c>
      <x:c r="Q94" s="6" t="str">
        <x:v>تأكيد بيانات الشركة واحتياجها للتمويل / المشاركة</x:v>
      </x:c>
      <x:c r="R94" s="6" t="str"/>
      <x:c r="S94" s="11" t="d">
        <x:v>2026-10-22T06:00:00.000Z</x:v>
      </x:c>
      <x:c r="T94" s="14" t="e">
        <x:f>HYPERLINK("https://www.ecohubmap.com/company/business/the-giving-movement/5g4nklihbcnog","ecohubmap.com")</x:f>
        <x:v>HYPERLINK is not implemented. linkLocation=https://www.ecohubmap.com/company/business/the-giving-movement/5g4nklihbcnog, friendlyName=ecohubmap.com</x:v>
      </x:c>
      <x:c r="U94" s="14" t="str">
        <x:v>https://www.crunchbase.com/organization/the-giving-movement
https://www.ecohubmap.com/company/business/the-giving-movement/5g4nklihbcnog
https://padlet-uploads.storage.googleapis.com/1097180305/f9f22c335b5ce9bdd4e29b98915dc400/BlankmanMagazineConcept.pdf</x:v>
      </x:c>
      <x:c r="V94" s="14" t="e">
        <x:f>HYPERLINK("https://gulfbusiness.com/en/2022/uae/uae-brand-the-giving-movement-raises-15m-in-series-a-round/","gulfbusiness.com")</x:f>
        <x:v>HYPERLINK is not implemented. linkLocation=https://gulfbusiness.com/en/2022/uae/uae-brand-the-giving-movement-raises-15m-in-series-a-round/, friendlyName=gulfbusiness.com</x:v>
      </x:c>
      <x:c r="W94" s="14" t="e">
        <x:f>HYPERLINK("https://thegivingmovement.com/pages/contact-us","thegivingmovement.com")</x:f>
        <x:v>HYPERLINK is not implemented. linkLocation=https://thegivingmovement.com/pages/contact-us, friendlyName=thegivingmovement.com</x:v>
      </x:c>
      <x:c r="X94" s="14" t="e">
        <x:f>HYPERLINK("https://thegivingmovement.com/pages/contact-us","thegivingmovement.com")</x:f>
        <x:v>HYPERLINK is not implemented. linkLocation=https://thegivingmovement.com/pages/contact-us, friendlyName=thegivingmovement.com</x:v>
      </x:c>
      <x:c r="Y94" s="14" t="e">
        <x:f>HYPERLINK("https://thegivingmovement.com/pages/contact-us","thegivingmovement.com")</x:f>
        <x:v>HYPERLINK is not implemented. linkLocation=https://thegivingmovement.com/pages/contact-us, friendlyName=thegivingmovement.com</x:v>
      </x:c>
      <x:c r="Z94" s="6" t="str">
        <x:v>موقع الجهة أو قناة مرتبطة بها</x:v>
      </x:c>
      <x:c r="AA94" s="6" t="str">
        <x:v>موقع الجهة أو قناة مرتبطة بها</x:v>
      </x:c>
    </x:row>
    <x:row r="95" ht="45" customHeight="1">
      <x:c r="A95" s="10" t="str">
        <x:v>S090</x:v>
      </x:c>
      <x:c r="B95" s="6" t="str">
        <x:v>Calo</x:v>
      </x:c>
      <x:c r="C95" s="6" t="str">
        <x:v>دبي</x:v>
      </x:c>
      <x:c r="D95" s="6" t="str">
        <x:v>التغذية</x:v>
      </x:c>
      <x:c r="E95" s="6" t="n">
        <x:v>2019</x:v>
      </x:c>
      <x:c r="F95" s="6" t="str">
        <x:v>Ahmed Alrawi; Moayed Almoayed</x:v>
      </x:c>
      <x:c r="G95" s="6" t="str">
        <x:v>support@calo.app</x:v>
      </x:c>
      <x:c r="H95" s="6" t="str">
        <x:v>غير متاح في المصادر المراجعة</x:v>
      </x:c>
      <x:c r="I95" s="6" t="str">
        <x:v>دعم / خدمة عملاء؛ اطلب التحويل</x:v>
      </x:c>
      <x:c r="J95" s="14" t="e">
        <x:f>HYPERLINK("https://calo.app","calo.app")</x:f>
        <x:v>HYPERLINK is not implemented. linkLocation=https://calo.app, friendlyName=calo.app</x:v>
      </x:c>
      <x:c r="K95" s="6" t="str">
        <x:v>غير مؤكد من المصادر المراجعة</x:v>
      </x:c>
      <x:c r="L95" s="6" t="str">
        <x:v>Seed</x:v>
      </x:c>
      <x:c r="M95" s="12" t="n">
        <x:v>13500000</x:v>
      </x:c>
      <x:c r="N95" s="6" t="str">
        <x:v>2021</x:v>
      </x:c>
      <x:c r="O95" s="6" t="str">
        <x:v>جولة تاريخية</x:v>
      </x:c>
      <x:c r="P95" s="13" t="str">
        <x:v>لم يتم التواصل</x:v>
      </x:c>
      <x:c r="Q95" s="6" t="str">
        <x:v>تأكيد بيانات الشركة واحتياجها للتمويل / المشاركة</x:v>
      </x:c>
      <x:c r="R95" s="6" t="str">
        <x:v>نشأت في البحرين وتعمل في الإمارات؛ الإدراج على أساس النشاط الإماراتي.</x:v>
      </x:c>
      <x:c r="S95" s="11" t="d">
        <x:v>2026-10-22T06:00:00.000Z</x:v>
      </x:c>
      <x:c r="T95" s="14" t="e">
        <x:f>HYPERLINK("https://assets.entrepreneur.com/magazine/2022-01-entrepreneur-middle-east.pdf","assets.entrepreneur.com")</x:f>
        <x:v>HYPERLINK is not implemented. linkLocation=https://assets.entrepreneur.com/magazine/2022-01-entrepreneur-middle-east.pdf, friendlyName=assets.entrepreneur.com</x:v>
      </x:c>
      <x:c r="U95" s="14" t="str">
        <x:v>https://assets.entrepreneur.com/magazine/2022-01-entrepreneur-middle-east.pdf
https://www.khwarizmivc.com/calo
https://www.crunchbase.com/organization/calo</x:v>
      </x:c>
      <x:c r="V95" s="14" t="e">
        <x:f>HYPERLINK("https://assets.entrepreneur.com/magazine/2022-01-entrepreneur-middle-east.pdf","assets.entrepreneur.com")</x:f>
        <x:v>HYPERLINK is not implemented. linkLocation=https://assets.entrepreneur.com/magazine/2022-01-entrepreneur-middle-east.pdf, friendlyName=assets.entrepreneur.com</x:v>
      </x:c>
      <x:c r="W95" s="14" t="e">
        <x:f>HYPERLINK("https://calo.app/en-om/privacy-policy","calo.app")</x:f>
        <x:v>HYPERLINK is not implemented. linkLocation=https://calo.app/en-om/privacy-policy, friendlyName=calo.app</x:v>
      </x:c>
      <x:c r="X95" s="14" t="str">
        <x:v>غير متاح في المصادر المراجعة</x:v>
      </x:c>
      <x:c r="Y95" s="14" t="e">
        <x:f>HYPERLINK("https://calo.app/en/business/contact","calo.app")</x:f>
        <x:v>HYPERLINK is not implemented. linkLocation=https://calo.app/en/business/contact, friendlyName=calo.app</x:v>
      </x:c>
      <x:c r="Z95" s="6" t="str">
        <x:v>موقع الجهة أو قناة مرتبطة بها</x:v>
      </x:c>
      <x:c r="AA95" s="6" t="str">
        <x:v>غير متاح في المصادر المراجعة</x:v>
      </x:c>
    </x:row>
    <x:row r="96" ht="45" customHeight="1">
      <x:c r="A96" s="10" t="str">
        <x:v>S091</x:v>
      </x:c>
      <x:c r="B96" s="6" t="str">
        <x:v>Eat App</x:v>
      </x:c>
      <x:c r="C96" s="6" t="str">
        <x:v>دبي</x:v>
      </x:c>
      <x:c r="D96" s="6" t="str">
        <x:v>تقنية المطاعم</x:v>
      </x:c>
      <x:c r="E96" s="6" t="n">
        <x:v>2015</x:v>
      </x:c>
      <x:c r="F96" s="6" t="str">
        <x:v>Nezar Kadhem; David Feuillard</x:v>
      </x:c>
      <x:c r="G96" s="6" t="str">
        <x:v>info@eatapp.co</x:v>
      </x:c>
      <x:c r="H96" s="6" t="str">
        <x:v>+971 4 581 3645</x:v>
      </x:c>
      <x:c r="I96" s="6" t="str">
        <x:v>استفسارات عامة</x:v>
      </x:c>
      <x:c r="J96" s="14" t="e">
        <x:f>HYPERLINK("https://eatapp.co","eatapp.co")</x:f>
        <x:v>HYPERLINK is not implemented. linkLocation=https://eatapp.co, friendlyName=eatapp.co</x:v>
      </x:c>
      <x:c r="K96" s="6" t="str">
        <x:v>غير مؤكد من المصادر المراجعة</x:v>
      </x:c>
      <x:c r="L96" s="6" t="str">
        <x:v>غير متاح في المصادر المراجعة</x:v>
      </x:c>
      <x:c r="M96" s="12" t="str">
        <x:v>غير متاح في المصادر المراجعة</x:v>
      </x:c>
      <x:c r="N96" s="6" t="str">
        <x:v>غير متاح في المصادر المراجعة</x:v>
      </x:c>
      <x:c r="O96" s="6" t="str">
        <x:v>لا توجد جولة محددة موثقة ضمن هذه المراجعة</x:v>
      </x:c>
      <x:c r="P96" s="13" t="str">
        <x:v>لم يتم التواصل</x:v>
      </x:c>
      <x:c r="Q96" s="6" t="str">
        <x:v>تأكيد بيانات الشركة واحتياجها للتمويل / المشاركة</x:v>
      </x:c>
      <x:c r="R96" s="6" t="str">
        <x:v>نشأت في البحرين ولها مكتب رئيسي إقليمي بالإمارات.</x:v>
      </x:c>
      <x:c r="S96" s="11" t="d">
        <x:v>2026-10-22T06:00:00.000Z</x:v>
      </x:c>
      <x:c r="T96" s="14" t="e">
        <x:f>HYPERLINK("https://restaurant.eatapp.co/about","restaurant.eatapp.co")</x:f>
        <x:v>HYPERLINK is not implemented. linkLocation=https://restaurant.eatapp.co/about, friendlyName=restaurant.eatapp.co</x:v>
      </x:c>
      <x:c r="U96" s="14" t="str">
        <x:v>https://restaurant.eatapp.co/privacy
https://restaurant.eatapp.co/about
https://www.wamda.com/en/2022/09/uae-eat-app-raises-11-million-series-b-round</x:v>
      </x:c>
      <x:c r="V96" s="14" t="str">
        <x:v>غير متاح في المصادر المراجعة</x:v>
      </x:c>
      <x:c r="W96" s="14" t="e">
        <x:f>HYPERLINK("https://restaurant.eatapp.co/contact-us","restaurant.eatapp.co")</x:f>
        <x:v>HYPERLINK is not implemented. linkLocation=https://restaurant.eatapp.co/contact-us, friendlyName=restaurant.eatapp.co</x:v>
      </x:c>
      <x:c r="X96" s="14" t="e">
        <x:f>HYPERLINK("https://restaurant.eatapp.co/knowledge/live-support","restaurant.eatapp.co")</x:f>
        <x:v>HYPERLINK is not implemented. linkLocation=https://restaurant.eatapp.co/knowledge/live-support, friendlyName=restaurant.eatapp.co</x:v>
      </x:c>
      <x:c r="Y96" s="14" t="e">
        <x:f>HYPERLINK("https://restaurant.eatapp.co/knowledge/live-support","restaurant.eatapp.co")</x:f>
        <x:v>HYPERLINK is not implemented. linkLocation=https://restaurant.eatapp.co/knowledge/live-support, friendlyName=restaurant.eatapp.co</x:v>
      </x:c>
      <x:c r="Z96" s="6" t="str">
        <x:v>موقع الجهة أو قناة مرتبطة بها</x:v>
      </x:c>
      <x:c r="AA96" s="6" t="str">
        <x:v>موقع الجهة أو قناة مرتبطة بها</x:v>
      </x:c>
    </x:row>
    <x:row r="97" ht="45" customHeight="1">
      <x:c r="A97" s="10" t="str">
        <x:v>S092</x:v>
      </x:c>
      <x:c r="B97" s="6" t="str">
        <x:v>Wafeq</x:v>
      </x:c>
      <x:c r="C97" s="6" t="str">
        <x:v>دبي</x:v>
      </x:c>
      <x:c r="D97" s="6" t="str">
        <x:v>المحاسبة السحابية</x:v>
      </x:c>
      <x:c r="E97" s="6" t="str">
        <x:v>غير متاح في المصادر المراجعة</x:v>
      </x:c>
      <x:c r="F97" s="6" t="str">
        <x:v>Nadim Alameddine</x:v>
      </x:c>
      <x:c r="G97" s="6" t="str">
        <x:v>help@wafeq.com</x:v>
      </x:c>
      <x:c r="H97" s="6" t="str">
        <x:v>+971 4 836 9524</x:v>
      </x:c>
      <x:c r="I97" s="6" t="str">
        <x:v>دعم / خدمة عملاء؛ اطلب التحويل</x:v>
      </x:c>
      <x:c r="J97" s="14" t="e">
        <x:f>HYPERLINK("https://wafeq.com","wafeq.com")</x:f>
        <x:v>HYPERLINK is not implemented. linkLocation=https://wafeq.com, friendlyName=wafeq.com</x:v>
      </x:c>
      <x:c r="K97" s="6" t="str">
        <x:v>غير مؤكد من المصادر المراجعة</x:v>
      </x:c>
      <x:c r="L97" s="6" t="str">
        <x:v>Seed</x:v>
      </x:c>
      <x:c r="M97" s="12" t="n">
        <x:v>3000000</x:v>
      </x:c>
      <x:c r="N97" s="6" t="str">
        <x:v>2023-01</x:v>
      </x:c>
      <x:c r="O97" s="6" t="str">
        <x:v>جولة تاريخية</x:v>
      </x:c>
      <x:c r="P97" s="13" t="str">
        <x:v>لم يتم التواصل</x:v>
      </x:c>
      <x:c r="Q97" s="6" t="str">
        <x:v>تأكيد بيانات الشركة واحتياجها للتمويل / المشاركة</x:v>
      </x:c>
      <x:c r="R97" s="6" t="str"/>
      <x:c r="S97" s="11" t="d">
        <x:v>2026-10-22T06:00:00.000Z</x:v>
      </x:c>
      <x:c r="T97" s="14" t="e">
        <x:f>HYPERLINK("https://www.wafeq.com/en-ae","wafeq.com")</x:f>
        <x:v>HYPERLINK is not implemented. linkLocation=https://www.wafeq.com/en-ae, friendlyName=wafeq.com</x:v>
      </x:c>
      <x:c r="U97" s="14" t="str">
        <x:v>https://www.wafeq.com/en-sa/about
https://www.wamda.com/en/2023/01/wafeq-raises-3-million-seed-round-led-raed-ventures-participation-wamda-capital
https://www.wafeq.com/en/press-releases/media-center/wafeq-series-a-funding-accounting-smes</x:v>
      </x:c>
      <x:c r="V97" s="14" t="e">
        <x:f>HYPERLINK("https://www.wamda.com/en/2023/01/wafeq-raises-3-million-seed-round-led-raed-ventures-participation-wamda-capital","wamda.com")</x:f>
        <x:v>HYPERLINK is not implemented. linkLocation=https://www.wamda.com/en/2023/01/wafeq-raises-3-million-seed-round-led-raed-ventures-participation-wamda-capital, friendlyName=wamda.com</x:v>
      </x:c>
      <x:c r="W97" s="14" t="e">
        <x:f>HYPERLINK("https://play.google.com/store/apps/details?id=com.wafeq.prod","play.google.com")</x:f>
        <x:v>HYPERLINK is not implemented. linkLocation=https://play.google.com/store/apps/details?id=com.wafeq.prod, friendlyName=play.google.com</x:v>
      </x:c>
      <x:c r="X97" s="14" t="e">
        <x:f>HYPERLINK("https://www.wafeq.com/en-ae","wafeq.com")</x:f>
        <x:v>HYPERLINK is not implemented. linkLocation=https://www.wafeq.com/en-ae, friendlyName=wafeq.com</x:v>
      </x:c>
      <x:c r="Y97" s="14" t="e">
        <x:f>HYPERLINK("https://www.wafeq.com/en-ae/contact-sales","wafeq.com")</x:f>
        <x:v>HYPERLINK is not implemented. linkLocation=https://www.wafeq.com/en-ae/contact-sales, friendlyName=wafeq.com</x:v>
      </x:c>
      <x:c r="Z97" s="6" t="str">
        <x:v>قائمة تطبيق ينشرها المطور</x:v>
      </x:c>
      <x:c r="AA97" s="6" t="str">
        <x:v>موقع الجهة أو قناة مرتبطة بها</x:v>
      </x:c>
    </x:row>
    <x:row r="98" ht="45" customHeight="1">
      <x:c r="A98" s="10" t="str">
        <x:v>S093</x:v>
      </x:c>
      <x:c r="B98" s="6" t="str">
        <x:v>Holo</x:v>
      </x:c>
      <x:c r="C98" s="6" t="str">
        <x:v>دبي</x:v>
      </x:c>
      <x:c r="D98" s="6" t="str">
        <x:v>تمويل العقارات</x:v>
      </x:c>
      <x:c r="E98" s="6" t="n">
        <x:v>2020</x:v>
      </x:c>
      <x:c r="F98" s="6" t="str">
        <x:v>غير متاح في المصادر المراجعة</x:v>
      </x:c>
      <x:c r="G98" s="6" t="str">
        <x:v>info@holo.ae</x:v>
      </x:c>
      <x:c r="H98" s="6" t="str">
        <x:v>+971 4 401 8505</x:v>
      </x:c>
      <x:c r="I98" s="6" t="str">
        <x:v>استفسارات عامة</x:v>
      </x:c>
      <x:c r="J98" s="14" t="e">
        <x:f>HYPERLINK("https://useholo.com","useholo.com")</x:f>
        <x:v>HYPERLINK is not implemented. linkLocation=https://useholo.com, friendlyName=useholo.com</x:v>
      </x:c>
      <x:c r="K98" s="6" t="str">
        <x:v>غير مؤكد من المصادر المراجعة</x:v>
      </x:c>
      <x:c r="L98" s="6" t="str">
        <x:v>Series A</x:v>
      </x:c>
      <x:c r="M98" s="12" t="n">
        <x:v>22000000</x:v>
      </x:c>
      <x:c r="N98" s="6" t="str">
        <x:v>غير متاح في المصادر المراجعة</x:v>
      </x:c>
      <x:c r="O98" s="6" t="str">
        <x:v>إعلان في صفحة التعريف</x:v>
      </x:c>
      <x:c r="P98" s="13" t="str">
        <x:v>لم يتم التواصل</x:v>
      </x:c>
      <x:c r="Q98" s="6" t="str">
        <x:v>تأكيد بيانات الشركة واحتياجها للتمويل / المشاركة</x:v>
      </x:c>
      <x:c r="R98" s="6" t="str"/>
      <x:c r="S98" s="11" t="d">
        <x:v>2026-10-22T06:00:00.000Z</x:v>
      </x:c>
      <x:c r="T98" s="14" t="e">
        <x:f>HYPERLINK("https://www.wamda.com/wamda-investments/holo","wamda.com")</x:f>
        <x:v>HYPERLINK is not implemented. linkLocation=https://www.wamda.com/wamda-investments/holo, friendlyName=wamda.com</x:v>
      </x:c>
      <x:c r="U98" s="14" t="str">
        <x:v>غير متاح في المصادر المراجعة</x:v>
      </x:c>
      <x:c r="V98" s="14" t="e">
        <x:f>HYPERLINK("https://www.useholo.com/en/about-us","useholo.com")</x:f>
        <x:v>HYPERLINK is not implemented. linkLocation=https://www.useholo.com/en/about-us, friendlyName=useholo.com</x:v>
      </x:c>
      <x:c r="W98" s="14" t="e">
        <x:f>HYPERLINK("https://www.decypha.com/en/company-list/Holo-Mortgage-Consultants-230761","decypha.com")</x:f>
        <x:v>HYPERLINK is not implemented. linkLocation=https://www.decypha.com/en/company-list/Holo-Mortgage-Consultants-230761, friendlyName=decypha.com</x:v>
      </x:c>
      <x:c r="X98" s="14" t="e">
        <x:f>HYPERLINK("https://www.decypha.com/en/company-list/Holo-Mortgage-Consultants-230761","decypha.com")</x:f>
        <x:v>HYPERLINK is not implemented. linkLocation=https://www.decypha.com/en/company-list/Holo-Mortgage-Consultants-230761, friendlyName=decypha.com</x:v>
      </x:c>
      <x:c r="Y98" s="14" t="e">
        <x:f>HYPERLINK("https://sa.useholo.com/en/contact-us","sa.useholo.com")</x:f>
        <x:v>HYPERLINK is not implemented. linkLocation=https://sa.useholo.com/en/contact-us, friendlyName=sa.useholo.com</x:v>
      </x:c>
      <x:c r="Z98" s="6" t="str">
        <x:v>مصدر ثانوي؛ يلزم تأكيد مباشر</x:v>
      </x:c>
      <x:c r="AA98" s="6" t="str">
        <x:v>مصدر ثانوي؛ يلزم تأكيد مباشر</x:v>
      </x:c>
    </x:row>
    <x:row r="99" ht="45" customHeight="1">
      <x:c r="A99" s="10" t="str">
        <x:v>S094</x:v>
      </x:c>
      <x:c r="B99" s="6" t="str">
        <x:v>SmartCrowd</x:v>
      </x:c>
      <x:c r="C99" s="6" t="str">
        <x:v>دبي</x:v>
      </x:c>
      <x:c r="D99" s="6" t="str">
        <x:v>الاستثمار العقاري الرقمي</x:v>
      </x:c>
      <x:c r="E99" s="6" t="n">
        <x:v>2018</x:v>
      </x:c>
      <x:c r="F99" s="6" t="str">
        <x:v>Siddiq Farid; Musfique Ahmed</x:v>
      </x:c>
      <x:c r="G99" s="6" t="str">
        <x:v>info@smartcrowd.ae</x:v>
      </x:c>
      <x:c r="H99" s="6" t="str">
        <x:v>غير متاح في المصادر المراجعة</x:v>
      </x:c>
      <x:c r="I99" s="6" t="str">
        <x:v>استفسارات عامة</x:v>
      </x:c>
      <x:c r="J99" s="14" t="e">
        <x:f>HYPERLINK("https://smartcrowd.ae","smartcrowd.ae")</x:f>
        <x:v>HYPERLINK is not implemented. linkLocation=https://smartcrowd.ae, friendlyName=smartcrowd.ae</x:v>
      </x:c>
      <x:c r="K99" s="6" t="str">
        <x:v>غير مؤكد من المصادر المراجعة</x:v>
      </x:c>
      <x:c r="L99" s="6" t="str">
        <x:v>غير متاح في المصادر المراجعة</x:v>
      </x:c>
      <x:c r="M99" s="12" t="str">
        <x:v>غير متاح في المصادر المراجعة</x:v>
      </x:c>
      <x:c r="N99" s="6" t="str">
        <x:v>غير متاح في المصادر المراجعة</x:v>
      </x:c>
      <x:c r="O99" s="6" t="str">
        <x:v>لا توجد جولة محددة موثقة ضمن هذه المراجعة</x:v>
      </x:c>
      <x:c r="P99" s="13" t="str">
        <x:v>لم يتم التواصل</x:v>
      </x:c>
      <x:c r="Q99" s="6" t="str">
        <x:v>تأكيد بيانات الشركة واحتياجها للتمويل / المشاركة</x:v>
      </x:c>
      <x:c r="R99" s="6" t="str"/>
      <x:c r="S99" s="11" t="d">
        <x:v>2026-10-22T06:00:00.000Z</x:v>
      </x:c>
      <x:c r="T99" s="14" t="e">
        <x:f>HYPERLINK("https://www.thenationalnews.com/business/property/2024/04/01/how-smartcrowd-is-enabling-people-to-make-their-first-property-investment/","thenationalnews.com")</x:f>
        <x:v>HYPERLINK is not implemented. linkLocation=https://www.thenationalnews.com/business/property/2024/04/01/how-smartcrowd-is-enabling-people-to-make-their-first-property-investment/, friendlyName=thenationalnews.com</x:v>
      </x:c>
      <x:c r="U99" s="14" t="str">
        <x:v>https://www.thenationalnews.com/business/property/2024/04/01/how-smartcrowd-is-enabling-people-to-make-their-first-property-investment/
https://www.wamda.com/2022/06/smartcrowd-raises-3-million-bridge-round
https://www.arabnews.com/business/uae-real-estate-platform-smartcrowd-plans-saudi-arabia-expansion-after-raising-3m-in-bridge-round-2102566</x:v>
      </x:c>
      <x:c r="V99" s="14" t="str">
        <x:v>غير متاح في المصادر المراجعة</x:v>
      </x:c>
      <x:c r="W99" s="14" t="e">
        <x:f>HYPERLINK("https://www.smartcrowd.ae/","smartcrowd.ae")</x:f>
        <x:v>HYPERLINK is not implemented. linkLocation=https://www.smartcrowd.ae/, friendlyName=smartcrowd.ae</x:v>
      </x:c>
      <x:c r="X99" s="14" t="str">
        <x:v>غير متاح في المصادر المراجعة</x:v>
      </x:c>
      <x:c r="Y99" s="14" t="e">
        <x:f>HYPERLINK("https://www.smartcrowd.ae/","smartcrowd.ae")</x:f>
        <x:v>HYPERLINK is not implemented. linkLocation=https://www.smartcrowd.ae/, friendlyName=smartcrowd.ae</x:v>
      </x:c>
      <x:c r="Z99" s="6" t="str">
        <x:v>موقع الجهة أو قناة مرتبطة بها</x:v>
      </x:c>
      <x:c r="AA99" s="6" t="str">
        <x:v>غير متاح في المصادر المراجعة</x:v>
      </x:c>
    </x:row>
    <x:row r="100" ht="45" customHeight="1">
      <x:c r="A100" s="10" t="str">
        <x:v>S095</x:v>
      </x:c>
      <x:c r="B100" s="6" t="str">
        <x:v>PRYPCO</x:v>
      </x:c>
      <x:c r="C100" s="6" t="str">
        <x:v>دبي</x:v>
      </x:c>
      <x:c r="D100" s="6" t="str">
        <x:v>التقنية العقارية</x:v>
      </x:c>
      <x:c r="E100" s="6" t="n">
        <x:v>2022</x:v>
      </x:c>
      <x:c r="F100" s="6" t="str">
        <x:v>Amira Sajwani</x:v>
      </x:c>
      <x:c r="G100" s="6" t="str">
        <x:v>discovery@prypco.com</x:v>
      </x:c>
      <x:c r="H100" s="6" t="str">
        <x:v>800 779726</x:v>
      </x:c>
      <x:c r="I100" s="6" t="str">
        <x:v>استفسارات عامة</x:v>
      </x:c>
      <x:c r="J100" s="14" t="e">
        <x:f>HYPERLINK("https://prypco.com","prypco.com")</x:f>
        <x:v>HYPERLINK is not implemented. linkLocation=https://prypco.com, friendlyName=prypco.com</x:v>
      </x:c>
      <x:c r="K100" s="6" t="str">
        <x:v>غير مؤكد من المصادر المراجعة</x:v>
      </x:c>
      <x:c r="L100" s="6" t="str">
        <x:v>غير متاح في المصادر المراجعة</x:v>
      </x:c>
      <x:c r="M100" s="12" t="str">
        <x:v>غير متاح في المصادر المراجعة</x:v>
      </x:c>
      <x:c r="N100" s="6" t="str">
        <x:v>غير متاح في المصادر المراجعة</x:v>
      </x:c>
      <x:c r="O100" s="6" t="str">
        <x:v>لا توجد جولة محددة موثقة ضمن هذه المراجعة</x:v>
      </x:c>
      <x:c r="P100" s="13" t="str">
        <x:v>لم يتم التواصل</x:v>
      </x:c>
      <x:c r="Q100" s="6" t="str">
        <x:v>تأكيد بيانات الشركة واحتياجها للتمويل / المشاركة</x:v>
      </x:c>
      <x:c r="R100" s="6" t="str"/>
      <x:c r="S100" s="11" t="d">
        <x:v>2026-10-22T06:00:00.000Z</x:v>
      </x:c>
      <x:c r="T100" s="14" t="e">
        <x:f>HYPERLINK("https://www.yello.ae/company/375075/prypco","yello.ae")</x:f>
        <x:v>HYPERLINK is not implemented. linkLocation=https://www.yello.ae/company/375075/prypco, friendlyName=yello.ae</x:v>
      </x:c>
      <x:c r="U100" s="14" t="str">
        <x:v>https://www.crunchbase.com/organization/prypco
https://help.prypco.com/en/articles/13740979-who-is-the-owner-founder-of-prypco
https://www.forbesmiddleeast.com/lists/the-middle-easts-fintech-50-2026/prypco-2/</x:v>
      </x:c>
      <x:c r="V100" s="14" t="str">
        <x:v>غير متاح في المصادر المراجعة</x:v>
      </x:c>
      <x:c r="W100" s="14" t="e">
        <x:f>HYPERLINK("https://prypco.com/terms-and-conditions","prypco.com")</x:f>
        <x:v>HYPERLINK is not implemented. linkLocation=https://prypco.com/terms-and-conditions, friendlyName=prypco.com</x:v>
      </x:c>
      <x:c r="X100" s="14" t="e">
        <x:f>HYPERLINK("https://prypco.com/terms-and-conditions","prypco.com")</x:f>
        <x:v>HYPERLINK is not implemented. linkLocation=https://prypco.com/terms-and-conditions, friendlyName=prypco.com</x:v>
      </x:c>
      <x:c r="Y100" s="14" t="e">
        <x:f>HYPERLINK("https://help.prypco.com/one/en/articles/13682346-how-to-contact-prypco-support","help.prypco.com")</x:f>
        <x:v>HYPERLINK is not implemented. linkLocation=https://help.prypco.com/one/en/articles/13682346-how-to-contact-prypco-support, friendlyName=help.prypco.com</x:v>
      </x:c>
      <x:c r="Z100" s="6" t="str">
        <x:v>موقع الجهة أو قناة مرتبطة بها</x:v>
      </x:c>
      <x:c r="AA100" s="6" t="str">
        <x:v>موقع الجهة أو قناة مرتبطة بها</x:v>
      </x:c>
    </x:row>
    <x:row r="101" ht="45" customHeight="1">
      <x:c r="A101" s="10" t="str">
        <x:v>S096</x:v>
      </x:c>
      <x:c r="B101" s="6" t="str">
        <x:v>HoloFair</x:v>
      </x:c>
      <x:c r="C101" s="6" t="str">
        <x:v>دبي</x:v>
      </x:c>
      <x:c r="D101" s="6" t="str">
        <x:v>الواقع الممتد</x:v>
      </x:c>
      <x:c r="E101" s="6" t="n">
        <x:v>2018</x:v>
      </x:c>
      <x:c r="F101" s="6" t="str">
        <x:v>غير متاح في المصادر المراجعة</x:v>
      </x:c>
      <x:c r="G101" s="6" t="str">
        <x:v>غير متاح في المصادر المراجعة</x:v>
      </x:c>
      <x:c r="H101" s="6" t="str">
        <x:v>+971 4 224 0280</x:v>
      </x:c>
      <x:c r="I101" s="6" t="str">
        <x:v>نموذج / موقع الجهة</x:v>
      </x:c>
      <x:c r="J101" s="14" t="e">
        <x:f>HYPERLINK("https://holofair.io","holofair.io")</x:f>
        <x:v>HYPERLINK is not implemented. linkLocation=https://holofair.io, friendlyName=holofair.io</x:v>
      </x:c>
      <x:c r="K101" s="6" t="str">
        <x:v>غير مؤكد من المصادر المراجعة</x:v>
      </x:c>
      <x:c r="L101" s="6" t="str">
        <x:v>غير متاح في المصادر المراجعة</x:v>
      </x:c>
      <x:c r="M101" s="12" t="str">
        <x:v>غير متاح في المصادر المراجعة</x:v>
      </x:c>
      <x:c r="N101" s="6" t="str">
        <x:v>غير متاح في المصادر المراجعة</x:v>
      </x:c>
      <x:c r="O101" s="6" t="str">
        <x:v>لا توجد جولة محددة موثقة ضمن هذه المراجعة</x:v>
      </x:c>
      <x:c r="P101" s="13" t="str">
        <x:v>لم يتم التواصل</x:v>
      </x:c>
      <x:c r="Q101" s="6" t="str">
        <x:v>تأكيد بيانات الشركة واحتياجها للتمويل / المشاركة</x:v>
      </x:c>
      <x:c r="R101" s="6" t="str"/>
      <x:c r="S101" s="11" t="d">
        <x:v>2026-10-22T06:00:00.000Z</x:v>
      </x:c>
      <x:c r="T101" s="14" t="e">
        <x:f>HYPERLINK("https://www.gulfleads.ae/company/holofair-c55bf5","gulfleads.ae")</x:f>
        <x:v>HYPERLINK is not implemented. linkLocation=https://www.gulfleads.ae/company/holofair-c55bf5, friendlyName=gulfleads.ae</x:v>
      </x:c>
      <x:c r="U101" s="14" t="str">
        <x:v>غير متاح في المصادر المراجعة</x:v>
      </x:c>
      <x:c r="V101" s="14" t="str">
        <x:v>غير متاح في المصادر المراجعة</x:v>
      </x:c>
      <x:c r="W101" s="14" t="str">
        <x:v>غير متاح في المصادر المراجعة</x:v>
      </x:c>
      <x:c r="X101" s="14" t="e">
        <x:f>HYPERLINK("https://www.holofair.io/contact","holofair.io")</x:f>
        <x:v>HYPERLINK is not implemented. linkLocation=https://www.holofair.io/contact, friendlyName=holofair.io</x:v>
      </x:c>
      <x:c r="Y101" s="14" t="e">
        <x:f>HYPERLINK("https://www.holofair.io/contact","holofair.io")</x:f>
        <x:v>HYPERLINK is not implemented. linkLocation=https://www.holofair.io/contact, friendlyName=holofair.io</x:v>
      </x:c>
      <x:c r="Z101" s="6" t="str">
        <x:v>غير متاح في المصادر المراجعة</x:v>
      </x:c>
      <x:c r="AA101" s="6" t="str">
        <x:v>موقع الجهة أو قناة مرتبطة بها</x:v>
      </x:c>
    </x:row>
    <x:row r="102" ht="45" customHeight="1">
      <x:c r="A102" s="10" t="str">
        <x:v>S097</x:v>
      </x:c>
      <x:c r="B102" s="6" t="str">
        <x:v>Podeo</x:v>
      </x:c>
      <x:c r="C102" s="6" t="str">
        <x:v>دبي</x:v>
      </x:c>
      <x:c r="D102" s="6" t="str">
        <x:v>تقنية المحتوى</x:v>
      </x:c>
      <x:c r="E102" s="6" t="n">
        <x:v>2020</x:v>
      </x:c>
      <x:c r="F102" s="6" t="str">
        <x:v>غير متاح في المصادر المراجعة</x:v>
      </x:c>
      <x:c r="G102" s="6" t="str">
        <x:v>partnerships@podeo.co</x:v>
      </x:c>
      <x:c r="H102" s="6" t="str">
        <x:v>غير متاح في المصادر المراجعة</x:v>
      </x:c>
      <x:c r="I102" s="6" t="str">
        <x:v>شراكات / استفسارات أعمال</x:v>
      </x:c>
      <x:c r="J102" s="14" t="e">
        <x:f>HYPERLINK("https://podeo.co","podeo.co")</x:f>
        <x:v>HYPERLINK is not implemented. linkLocation=https://podeo.co, friendlyName=podeo.co</x:v>
      </x:c>
      <x:c r="K102" s="6" t="str">
        <x:v>غير مؤكد من المصادر المراجعة</x:v>
      </x:c>
      <x:c r="L102" s="6" t="str">
        <x:v>غير متاح في المصادر المراجعة</x:v>
      </x:c>
      <x:c r="M102" s="12" t="str">
        <x:v>غير متاح في المصادر المراجعة</x:v>
      </x:c>
      <x:c r="N102" s="6" t="str">
        <x:v>غير متاح في المصادر المراجعة</x:v>
      </x:c>
      <x:c r="O102" s="6" t="str">
        <x:v>لا توجد جولة محددة موثقة ضمن هذه المراجعة</x:v>
      </x:c>
      <x:c r="P102" s="13" t="str">
        <x:v>لم يتم التواصل</x:v>
      </x:c>
      <x:c r="Q102" s="6" t="str">
        <x:v>تأكيد بيانات الشركة واحتياجها للتمويل / المشاركة</x:v>
      </x:c>
      <x:c r="R102" s="6" t="str"/>
      <x:c r="S102" s="11" t="d">
        <x:v>2026-10-22T06:00:00.000Z</x:v>
      </x:c>
      <x:c r="T102" s="14" t="e">
        <x:f>HYPERLINK("https://podeo.co/about-us","podeo.co")</x:f>
        <x:v>HYPERLINK is not implemented. linkLocation=https://podeo.co/about-us, friendlyName=podeo.co</x:v>
      </x:c>
      <x:c r="U102" s="14" t="str">
        <x:v>غير متاح في المصادر المراجعة</x:v>
      </x:c>
      <x:c r="V102" s="14" t="str">
        <x:v>غير متاح في المصادر المراجعة</x:v>
      </x:c>
      <x:c r="W102" s="14" t="e">
        <x:f>HYPERLINK("https://podeo.co/contact-us","podeo.co")</x:f>
        <x:v>HYPERLINK is not implemented. linkLocation=https://podeo.co/contact-us, friendlyName=podeo.co</x:v>
      </x:c>
      <x:c r="X102" s="14" t="str">
        <x:v>غير متاح في المصادر المراجعة</x:v>
      </x:c>
      <x:c r="Y102" s="14" t="e">
        <x:f>HYPERLINK("https://podeo.co/contact-us","podeo.co")</x:f>
        <x:v>HYPERLINK is not implemented. linkLocation=https://podeo.co/contact-us, friendlyName=podeo.co</x:v>
      </x:c>
      <x:c r="Z102" s="6" t="str">
        <x:v>موقع الجهة أو قناة مرتبطة بها</x:v>
      </x:c>
      <x:c r="AA102" s="6" t="str">
        <x:v>غير متاح في المصادر المراجعة</x:v>
      </x:c>
    </x:row>
    <x:row r="103" ht="45" customHeight="1">
      <x:c r="A103" s="10" t="str">
        <x:v>S098</x:v>
      </x:c>
      <x:c r="B103" s="6" t="str">
        <x:v>baraka</x:v>
      </x:c>
      <x:c r="C103" s="6" t="str">
        <x:v>دبي</x:v>
      </x:c>
      <x:c r="D103" s="6" t="str">
        <x:v>الاستثمار الرقمي</x:v>
      </x:c>
      <x:c r="E103" s="6" t="n">
        <x:v>2020</x:v>
      </x:c>
      <x:c r="F103" s="6" t="str">
        <x:v>Feras Jalbout; Kunal Taneja</x:v>
      </x:c>
      <x:c r="G103" s="6" t="str">
        <x:v>founders@getbaraka.com</x:v>
      </x:c>
      <x:c r="H103" s="6" t="str">
        <x:v>غير متاح في المصادر المراجعة</x:v>
      </x:c>
      <x:c r="I103" s="6" t="str">
        <x:v>تمويل / مؤسسون</x:v>
      </x:c>
      <x:c r="J103" s="14" t="e">
        <x:f>HYPERLINK("https://getbaraka.com","getbaraka.com")</x:f>
        <x:v>HYPERLINK is not implemented. linkLocation=https://getbaraka.com, friendlyName=getbaraka.com</x:v>
      </x:c>
      <x:c r="K103" s="6" t="str">
        <x:v>غير مؤكد من المصادر المراجعة</x:v>
      </x:c>
      <x:c r="L103" s="6" t="str">
        <x:v>غير متاح في المصادر المراجعة</x:v>
      </x:c>
      <x:c r="M103" s="12" t="str">
        <x:v>غير متاح في المصادر المراجعة</x:v>
      </x:c>
      <x:c r="N103" s="6" t="str">
        <x:v>غير متاح في المصادر المراجعة</x:v>
      </x:c>
      <x:c r="O103" s="6" t="str">
        <x:v>لا توجد جولة محددة موثقة ضمن هذه المراجعة</x:v>
      </x:c>
      <x:c r="P103" s="13" t="str">
        <x:v>لم يتم التواصل</x:v>
      </x:c>
      <x:c r="Q103" s="6" t="str">
        <x:v>تأكيد بيانات الشركة واحتياجها للتمويل / المشاركة</x:v>
      </x:c>
      <x:c r="R103" s="6" t="str"/>
      <x:c r="S103" s="11" t="d">
        <x:v>2026-10-22T06:00:00.000Z</x:v>
      </x:c>
      <x:c r="T103" s="14" t="e">
        <x:f>HYPERLINK("https://www.ycombinator.com/companies/baraka","ycombinator.com")</x:f>
        <x:v>HYPERLINK is not implemented. linkLocation=https://www.ycombinator.com/companies/baraka, friendlyName=ycombinator.com</x:v>
      </x:c>
      <x:c r="U103" s="14" t="str">
        <x:v>https://www.ycombinator.com/companies/baraka
https://www.reddit.com/r/UAE/comments/r1s1sp/baraka_investment_platform_reviews/
https://www.thenationalnews.com/business/generation-start-up-baraka-plans-to-tap-into-the-gcc-s-retail-investor-revolution-with-a-focus-on-community-1.1187721</x:v>
      </x:c>
      <x:c r="V103" s="14" t="str">
        <x:v>غير متاح في المصادر المراجعة</x:v>
      </x:c>
      <x:c r="W103" s="14" t="e">
        <x:f>HYPERLINK("https://www.ycombinator.com/companies/baraka","ycombinator.com")</x:f>
        <x:v>HYPERLINK is not implemented. linkLocation=https://www.ycombinator.com/companies/baraka, friendlyName=ycombinator.com</x:v>
      </x:c>
      <x:c r="X103" s="14" t="str">
        <x:v>غير متاح في المصادر المراجعة</x:v>
      </x:c>
      <x:c r="Y103" s="14" t="e">
        <x:f>HYPERLINK("https://www.getbaraka.com/contact","getbaraka.com")</x:f>
        <x:v>HYPERLINK is not implemented. linkLocation=https://www.getbaraka.com/contact, friendlyName=getbaraka.com</x:v>
      </x:c>
      <x:c r="Z103" s="6" t="str">
        <x:v>مصدر ثانوي؛ يلزم تأكيد مباشر</x:v>
      </x:c>
      <x:c r="AA103" s="6" t="str">
        <x:v>غير متاح في المصادر المراجعة</x:v>
      </x:c>
    </x:row>
    <x:row r="104" ht="45" customHeight="1">
      <x:c r="A104" s="10" t="str">
        <x:v>S099</x:v>
      </x:c>
      <x:c r="B104" s="6" t="str">
        <x:v>CAMB.AI</x:v>
      </x:c>
      <x:c r="C104" s="6" t="str">
        <x:v>دبي</x:v>
      </x:c>
      <x:c r="D104" s="6" t="str">
        <x:v>الذكاء الاصطناعي اللغوي</x:v>
      </x:c>
      <x:c r="E104" s="6" t="n">
        <x:v>2022</x:v>
      </x:c>
      <x:c r="F104" s="6" t="str">
        <x:v>Avneesh Prakash; Akshat Prakash</x:v>
      </x:c>
      <x:c r="G104" s="6" t="str">
        <x:v>info@camb.ai</x:v>
      </x:c>
      <x:c r="H104" s="6" t="str">
        <x:v>غير متاح في المصادر المراجعة</x:v>
      </x:c>
      <x:c r="I104" s="6" t="str">
        <x:v>استفسارات عامة</x:v>
      </x:c>
      <x:c r="J104" s="14" t="e">
        <x:f>HYPERLINK("https://camb.ai","camb.ai")</x:f>
        <x:v>HYPERLINK is not implemented. linkLocation=https://camb.ai, friendlyName=camb.ai</x:v>
      </x:c>
      <x:c r="K104" s="6" t="str">
        <x:v>غير مؤكد من المصادر المراجعة</x:v>
      </x:c>
      <x:c r="L104" s="6" t="str">
        <x:v>Seed</x:v>
      </x:c>
      <x:c r="M104" s="12" t="n">
        <x:v>4000000</x:v>
      </x:c>
      <x:c r="N104" s="6" t="str">
        <x:v>2024-02</x:v>
      </x:c>
      <x:c r="O104" s="6" t="str">
        <x:v>دليل ثانوي</x:v>
      </x:c>
      <x:c r="P104" s="13" t="str">
        <x:v>لم يتم التواصل</x:v>
      </x:c>
      <x:c r="Q104" s="6" t="str">
        <x:v>تأكيد بيانات الشركة واحتياجها للتمويل / المشاركة</x:v>
      </x:c>
      <x:c r="R104" s="6" t="str"/>
      <x:c r="S104" s="11" t="d">
        <x:v>2026-10-22T06:00:00.000Z</x:v>
      </x:c>
      <x:c r="T104" s="14" t="e">
        <x:f>HYPERLINK("https://www.gulfstartupmap.com/startups/camb-ai","gulfstartupmap.com")</x:f>
        <x:v>HYPERLINK is not implemented. linkLocation=https://www.gulfstartupmap.com/startups/camb-ai, friendlyName=gulfstartupmap.com</x:v>
      </x:c>
      <x:c r="U104" s="14" t="str">
        <x:v>https://www.gulfstartupmap.com/startups/camb-ai
https://www.camb.ai/blog-post/announcing-camb-ais-4m-seed-round-led-by-courtside-ventures
https://www.crunchbase.com/organization/camb-ai</x:v>
      </x:c>
      <x:c r="V104" s="14" t="e">
        <x:f>HYPERLINK("https://www.gulfstartupmap.com/startups/camb-ai","gulfstartupmap.com")</x:f>
        <x:v>HYPERLINK is not implemented. linkLocation=https://www.gulfstartupmap.com/startups/camb-ai, friendlyName=gulfstartupmap.com</x:v>
      </x:c>
      <x:c r="W104" s="14" t="e">
        <x:f>HYPERLINK("https://www.camb.ai/fr/terms-conditions","camb.ai")</x:f>
        <x:v>HYPERLINK is not implemented. linkLocation=https://www.camb.ai/fr/terms-conditions, friendlyName=camb.ai</x:v>
      </x:c>
      <x:c r="X104" s="14" t="str">
        <x:v>غير متاح في المصادر المراجعة</x:v>
      </x:c>
      <x:c r="Y104" s="14" t="e">
        <x:f>HYPERLINK("https://help.camb.ai/en/articles/8751313-contact-us","help.camb.ai")</x:f>
        <x:v>HYPERLINK is not implemented. linkLocation=https://help.camb.ai/en/articles/8751313-contact-us, friendlyName=help.camb.ai</x:v>
      </x:c>
      <x:c r="Z104" s="6" t="str">
        <x:v>موقع الجهة أو قناة مرتبطة بها</x:v>
      </x:c>
      <x:c r="AA104" s="6" t="str">
        <x:v>غير متاح في المصادر المراجعة</x:v>
      </x:c>
    </x:row>
    <x:row r="105" ht="45" customHeight="1">
      <x:c r="A105" s="10" t="str">
        <x:v>S100</x:v>
      </x:c>
      <x:c r="B105" s="6" t="str">
        <x:v>Derq</x:v>
      </x:c>
      <x:c r="C105" s="6" t="str">
        <x:v>دبي</x:v>
      </x:c>
      <x:c r="D105" s="6" t="str">
        <x:v>التنقل الذكي</x:v>
      </x:c>
      <x:c r="E105" s="6" t="str">
        <x:v>غير متاح في المصادر المراجعة</x:v>
      </x:c>
      <x:c r="F105" s="6" t="str">
        <x:v>غير متاح في المصادر المراجعة</x:v>
      </x:c>
      <x:c r="G105" s="6" t="str">
        <x:v>contact@derq.com</x:v>
      </x:c>
      <x:c r="H105" s="6" t="str">
        <x:v>+971 4 589 7731</x:v>
      </x:c>
      <x:c r="I105" s="6" t="str">
        <x:v>استفسارات عامة</x:v>
      </x:c>
      <x:c r="J105" s="14" t="e">
        <x:f>HYPERLINK("https://derq.com","derq.com")</x:f>
        <x:v>HYPERLINK is not implemented. linkLocation=https://derq.com, friendlyName=derq.com</x:v>
      </x:c>
      <x:c r="K105" s="6" t="str">
        <x:v>غير مؤكد من المصادر المراجعة</x:v>
      </x:c>
      <x:c r="L105" s="6" t="str">
        <x:v>Seed</x:v>
      </x:c>
      <x:c r="M105" s="12" t="n">
        <x:v>1500000</x:v>
      </x:c>
      <x:c r="N105" s="6" t="str">
        <x:v>2017-10-25</x:v>
      </x:c>
      <x:c r="O105" s="6" t="str">
        <x:v>جولة تاريخية؛ لا تثبت الوضع الحالي</x:v>
      </x:c>
      <x:c r="P105" s="13" t="str">
        <x:v>لم يتم التواصل</x:v>
      </x:c>
      <x:c r="Q105" s="6" t="str">
        <x:v>تأكيد بيانات الشركة واحتياجها للتمويل / المشاركة</x:v>
      </x:c>
      <x:c r="R105" s="6" t="str"/>
      <x:c r="S105" s="11" t="d">
        <x:v>2026-10-22T06:00:00.000Z</x:v>
      </x:c>
      <x:c r="T105" s="14" t="e">
        <x:f>HYPERLINK("https://en.derq.com/faq","en.derq.com")</x:f>
        <x:v>HYPERLINK is not implemented. linkLocation=https://en.derq.com/faq, friendlyName=en.derq.com</x:v>
      </x:c>
      <x:c r="U105" s="14" t="str">
        <x:v>غير متاح في المصادر المراجعة</x:v>
      </x:c>
      <x:c r="V105" s="14" t="e">
        <x:f>HYPERLINK("https://en.derq.com/press-coverage/2017/11/19/dubai-startup-derq-secures-15-million-seed-round","en.derq.com")</x:f>
        <x:v>HYPERLINK is not implemented. linkLocation=https://en.derq.com/press-coverage/2017/11/19/dubai-startup-derq-secures-15-million-seed-round, friendlyName=en.derq.com</x:v>
      </x:c>
      <x:c r="W105" s="14" t="e">
        <x:f>HYPERLINK("https://en.derq.com/privacy-policy","en.derq.com")</x:f>
        <x:v>HYPERLINK is not implemented. linkLocation=https://en.derq.com/privacy-policy, friendlyName=en.derq.com</x:v>
      </x:c>
      <x:c r="X105" s="14" t="e">
        <x:f>HYPERLINK("https://www.decypha.com/en/company-list/Derq-Systems-FZ-LLC-130168","decypha.com")</x:f>
        <x:v>HYPERLINK is not implemented. linkLocation=https://www.decypha.com/en/company-list/Derq-Systems-FZ-LLC-130168, friendlyName=decypha.com</x:v>
      </x:c>
      <x:c r="Y105" s="14" t="e">
        <x:f>HYPERLINK("https://en.derq.com/faq","en.derq.com")</x:f>
        <x:v>HYPERLINK is not implemented. linkLocation=https://en.derq.com/faq, friendlyName=en.derq.com</x:v>
      </x:c>
      <x:c r="Z105" s="6" t="str">
        <x:v>موقع الجهة أو قناة مرتبطة بها</x:v>
      </x:c>
      <x:c r="AA105" s="6" t="str">
        <x:v>مصدر ثانوي؛ يلزم تأكيد مباشر</x:v>
      </x:c>
    </x:row>
  </x:sheetData>
  <x:conditionalFormatting sqref="G6:G105">
    <x:cfRule type="containsText" dxfId="0" priority="1" operator="containsText" text="غير متاح في المصادر المراجعة"/>
  </x:conditionalFormatting>
  <x:conditionalFormatting sqref="H6:H105">
    <x:cfRule type="containsText" dxfId="1" priority="2" operator="containsText" text="غير متاح في المصادر المراجعة"/>
  </x:conditionalFormatting>
  <x:conditionalFormatting sqref="E6:E105">
    <x:cfRule type="containsText" dxfId="2" priority="3" operator="containsText" text="غير متاح في المصادر المراجعة"/>
  </x:conditionalFormatting>
  <x:conditionalFormatting sqref="F6:F105">
    <x:cfRule type="containsText" dxfId="3" priority="4" operator="containsText" text="غير متاح في المصادر المراجعة"/>
  </x:conditionalFormatting>
  <x:dataValidations count="1">
    <x:dataValidation type="list" sqref="P6:P105">
      <x:formula1>"لم يتم التواصل,تم التواصل,بانتظار الرد,مهتم,غير مهتم,تم الاجتماع,تم الاتفاق,مؤجل"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9a6fb152384bd9"/>
  </x:tableParts>
</x:worksheet>
</file>

<file path=xl/worksheets/sheet3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42" hidden="0" customWidth="1"/>
    <x:col min="3" max="3" width="34" hidden="0" customWidth="1"/>
    <x:col min="4" max="4" width="32" hidden="0" customWidth="1"/>
    <x:col min="5" max="5" width="42" hidden="0" customWidth="1"/>
    <x:col min="6" max="6" width="34" hidden="0" customWidth="1"/>
    <x:col min="7" max="7" width="48" hidden="0" customWidth="1"/>
    <x:col min="8" max="8" width="45" hidden="0" customWidth="1"/>
    <x:col min="9" max="9" width="40" hidden="0" customWidth="1"/>
    <x:col min="10" max="10" width="25" hidden="0" customWidth="1"/>
    <x:col min="11" max="11" width="42" hidden="0" customWidth="1"/>
    <x:col min="12" max="12" width="43" hidden="0" customWidth="1"/>
    <x:col min="13" max="13" width="43" hidden="0" customWidth="1"/>
    <x:col min="14" max="14" width="66" hidden="0" customWidth="1"/>
    <x:col min="15" max="15" width="48" hidden="0" customWidth="1"/>
    <x:col min="16" max="16" width="28" hidden="0" customWidth="1"/>
    <x:col min="17" max="17" width="66" hidden="0" customWidth="1"/>
    <x:col min="18" max="18" width="80" hidden="0" customWidth="1"/>
    <x:col min="19" max="19" width="18" hidden="0" customWidth="1"/>
    <x:col min="20" max="20" width="43" hidden="0" customWidth="1"/>
    <x:col min="21" max="21" width="43" hidden="0" customWidth="1"/>
    <x:col min="22" max="22" width="43" hidden="0" customWidth="1"/>
    <x:col min="23" max="23" width="40" hidden="0" customWidth="1"/>
    <x:col min="24" max="24" width="40" hidden="0" customWidth="1"/>
  </x:cols>
  <x:sheetData>
    <x:row r="1" ht="10" customHeight="1"/>
    <x:row r="2">
      <x:c r="A2" s="1" t="str">
        <x:v>جهات التمويل والاستثمار والدعم في الإمارات</x:v>
      </x:c>
    </x:row>
    <x:row r="3">
      <x:c r="A3" s="2" t="str">
        <x:v>100 جهة وقناة مؤسسية. صناديق وبنوك وملائكة ومسرعات وجهات حكومية. الدعم لا يعني تمويلاً مباشراً.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45" customHeight="1">
      <x:c r="A5" s="9" t="str">
        <x:v>المعرّف</x:v>
      </x:c>
      <x:c r="B5" s="9" t="str">
        <x:v>اسم الجهة</x:v>
      </x:c>
      <x:c r="C5" s="9" t="str">
        <x:v>نوع الجهة</x:v>
      </x:c>
      <x:c r="D5" s="9" t="str">
        <x:v>المقر / الوجود الإماراتي</x:v>
      </x:c>
      <x:c r="E5" s="9" t="str">
        <x:v>التركيز العام</x:v>
      </x:c>
      <x:c r="F5" s="9" t="str">
        <x:v>المراحل المستهدفة</x:v>
      </x:c>
      <x:c r="G5" s="9" t="str">
        <x:v>أداة التمويل / الدعم</x:v>
      </x:c>
      <x:c r="H5" s="9" t="str">
        <x:v>دور الجهة</x:v>
      </x:c>
      <x:c r="I5" s="9" t="str">
        <x:v>البريد الإلكتروني</x:v>
      </x:c>
      <x:c r="J5" s="9" t="str">
        <x:v>هاتف مؤسسي معلن</x:v>
      </x:c>
      <x:c r="K5" s="9" t="str">
        <x:v>نوع قناة البريد</x:v>
      </x:c>
      <x:c r="L5" s="9" t="str">
        <x:v>الموقع الإلكتروني</x:v>
      </x:c>
      <x:c r="M5" s="9" t="str">
        <x:v>قناة التقديم / التواصل المنشورة</x:v>
      </x:c>
      <x:c r="N5" s="9" t="str">
        <x:v>الأهلية / شرط أساسي</x:v>
      </x:c>
      <x:c r="O5" s="9" t="str">
        <x:v>حالة نافذة التقديم</x:v>
      </x:c>
      <x:c r="P5" s="9" t="str">
        <x:v>حالة الاستقطاب / التواصل</x:v>
      </x:c>
      <x:c r="Q5" s="9" t="str">
        <x:v>الإجراء التالي</x:v>
      </x:c>
      <x:c r="R5" s="9" t="str">
        <x:v>ملاحظات التحقق والعلاقات</x:v>
      </x:c>
      <x:c r="S5" s="9" t="str">
        <x:v>تاريخ المراجعة</x:v>
      </x:c>
      <x:c r="T5" s="9" t="str">
        <x:v>مصدر تعريف الجهة</x:v>
      </x:c>
      <x:c r="U5" s="9" t="str">
        <x:v>مصدر البريد</x:v>
      </x:c>
      <x:c r="V5" s="9" t="str">
        <x:v>مصدر الهاتف</x:v>
      </x:c>
      <x:c r="W5" s="9" t="str">
        <x:v>نوع مصدر البريد</x:v>
      </x:c>
      <x:c r="X5" s="9" t="str">
        <x:v>نوع مصدر الهاتف</x:v>
      </x:c>
    </x:row>
    <x:row r="6" ht="45" customHeight="1">
      <x:c r="A6" s="10" t="str">
        <x:v>F001</x:v>
      </x:c>
      <x:c r="B6" s="6" t="str">
        <x:v>BECO Capital</x:v>
      </x:c>
      <x:c r="C6" s="6" t="str">
        <x:v>رأس مال جريء</x:v>
      </x:c>
      <x:c r="D6" s="6" t="str">
        <x:v>دبي</x:v>
      </x:c>
      <x:c r="E6" s="6" t="str">
        <x:v>تقنية متعددة القطاعات</x:v>
      </x:c>
      <x:c r="F6" s="6" t="str">
        <x:v>من التأسيس إلى النمو</x:v>
      </x:c>
      <x:c r="G6" s="6" t="str">
        <x:v>حقوق ملكية</x:v>
      </x:c>
      <x:c r="H6" s="6" t="str">
        <x:v>استثمار مباشر</x:v>
      </x:c>
      <x:c r="I6" s="6" t="str">
        <x:v>غير متاح في المصادر المراجعة</x:v>
      </x:c>
      <x:c r="J6" s="6" t="str">
        <x:v>+971 4 299 9844</x:v>
      </x:c>
      <x:c r="K6" s="6" t="str">
        <x:v>نموذج / موقع الجهة</x:v>
      </x:c>
      <x:c r="L6" s="14" t="e">
        <x:f>HYPERLINK("https://becocapital.com","becocapital.com")</x:f>
        <x:v>HYPERLINK is not implemented. linkLocation=https://becocapital.com, friendlyName=becocapital.com</x:v>
      </x:c>
      <x:c r="M6" s="14" t="e">
        <x:f>HYPERLINK("https://www.becocapital.com/contact/","becocapital.com")</x:f>
        <x:v>HYPERLINK is not implemented. linkLocation=https://www.becocapital.com/contact/, friendlyName=becocapital.com</x:v>
      </x:c>
      <x:c r="N6" s="6" t="str">
        <x:v>ملاءمة القطاع والمرحلة والنطاق الجغرافي؛ تأكيد مباشر</x:v>
      </x:c>
      <x:c r="O6" s="6" t="str">
        <x:v>غير مؤكد؛ راجع القناة المنشورة</x:v>
      </x:c>
      <x:c r="P6" s="13" t="str">
        <x:v>لم يتم التواصل</x:v>
      </x:c>
      <x:c r="Q6" s="6" t="str">
        <x:v>تأكيد جهة الاتصال والملاءمة ثم طلب متطلبات التقديم</x:v>
      </x:c>
      <x:c r="R6" s="6" t="str">
        <x:v>البريد المنشور في سياسة الخصوصية يتضمن www؛ فضّلت نموذج التواصل دون تصحيح أو تخمين العنوان.</x:v>
      </x:c>
      <x:c r="S6" s="11" t="d">
        <x:v>2026-10-22T06:00:00.000Z</x:v>
      </x:c>
      <x:c r="T6" s="14" t="e">
        <x:f>HYPERLINK("https://www.becocapital.com/contact/","becocapital.com")</x:f>
        <x:v>HYPERLINK is not implemented. linkLocation=https://www.becocapital.com/contact/, friendlyName=becocapital.com</x:v>
      </x:c>
      <x:c r="U6" s="14" t="str">
        <x:v>غير متاح في المصادر المراجعة</x:v>
      </x:c>
      <x:c r="V6" s="14" t="e">
        <x:f>HYPERLINK("https://www.becocapital.com/contact/","becocapital.com")</x:f>
        <x:v>HYPERLINK is not implemented. linkLocation=https://www.becocapital.com/contact/, friendlyName=becocapital.com</x:v>
      </x:c>
      <x:c r="W6" s="6" t="str">
        <x:v>غير متاح في المصادر المراجعة</x:v>
      </x:c>
      <x:c r="X6" s="6" t="str">
        <x:v>موقع الجهة أو قناة مرتبطة بها</x:v>
      </x:c>
    </x:row>
    <x:row r="7" ht="45" customHeight="1">
      <x:c r="A7" s="10" t="str">
        <x:v>F002</x:v>
      </x:c>
      <x:c r="B7" s="6" t="str">
        <x:v>Shorooq Partners</x:v>
      </x:c>
      <x:c r="C7" s="6" t="str">
        <x:v>رأس مال جريء</x:v>
      </x:c>
      <x:c r="D7" s="6" t="str">
        <x:v>أبوظبي</x:v>
      </x:c>
      <x:c r="E7" s="6" t="str">
        <x:v>تقنية ومالية وبرمجيات</x:v>
      </x:c>
      <x:c r="F7" s="6" t="str">
        <x:v>متعدد المراحل</x:v>
      </x:c>
      <x:c r="G7" s="6" t="str">
        <x:v>حقوق ملكية وتمويل خاص</x:v>
      </x:c>
      <x:c r="H7" s="6" t="str">
        <x:v>استثمار مباشر</x:v>
      </x:c>
      <x:c r="I7" s="6" t="str">
        <x:v>hello@shorooq.com</x:v>
      </x:c>
      <x:c r="J7" s="6" t="str">
        <x:v>+971 4 410 7533</x:v>
      </x:c>
      <x:c r="K7" s="6" t="str">
        <x:v>استفسارات عامة</x:v>
      </x:c>
      <x:c r="L7" s="14" t="e">
        <x:f>HYPERLINK("https://shorooq.com","shorooq.com")</x:f>
        <x:v>HYPERLINK is not implemented. linkLocation=https://shorooq.com, friendlyName=shorooq.com</x:v>
      </x:c>
      <x:c r="M7" s="14" t="e">
        <x:f>HYPERLINK("https://www.shorooq.com/","shorooq.com")</x:f>
        <x:v>HYPERLINK is not implemented. linkLocation=https://www.shorooq.com/, friendlyName=shorooq.com</x:v>
      </x:c>
      <x:c r="N7" s="6" t="str">
        <x:v>ملاءمة القطاع والمرحلة والنطاق الجغرافي؛ تأكيد مباشر</x:v>
      </x:c>
      <x:c r="O7" s="6" t="str">
        <x:v>غير مؤكد؛ راجع القناة المنشورة</x:v>
      </x:c>
      <x:c r="P7" s="13" t="str">
        <x:v>لم يتم التواصل</x:v>
      </x:c>
      <x:c r="Q7" s="6" t="str">
        <x:v>تأكيد جهة الاتصال والملاءمة ثم طلب متطلبات التقديم</x:v>
      </x:c>
      <x:c r="R7" s="6" t="str"/>
      <x:c r="S7" s="11" t="d">
        <x:v>2026-10-22T06:00:00.000Z</x:v>
      </x:c>
      <x:c r="T7" s="14" t="e">
        <x:f>HYPERLINK("https://www.shorooq.com/","shorooq.com")</x:f>
        <x:v>HYPERLINK is not implemented. linkLocation=https://www.shorooq.com/, friendlyName=shorooq.com</x:v>
      </x:c>
      <x:c r="U7" s="14" t="e">
        <x:f>HYPERLINK("https://www.adgm.com/api/FSRAC_FirmPdf/GenerateFirmProfilePdf?FirmId=165820","adgm.com")</x:f>
        <x:v>HYPERLINK is not implemented. linkLocation=https://www.adgm.com/api/FSRAC_FirmPdf/GenerateFirmProfilePdf?FirmId=165820, friendlyName=adgm.com</x:v>
      </x:c>
      <x:c r="V7" s="14" t="e">
        <x:f>HYPERLINK("https://www.adgm.com/api/FSRAC_FirmPdf/GenerateFirmProfilePdf?FirmId=165820","adgm.com")</x:f>
        <x:v>HYPERLINK is not implemented. linkLocation=https://www.adgm.com/api/FSRAC_FirmPdf/GenerateFirmProfilePdf?FirmId=165820, friendlyName=adgm.com</x:v>
      </x:c>
      <x:c r="W7" s="6" t="str">
        <x:v>سجل تنظيمي رسمي</x:v>
      </x:c>
      <x:c r="X7" s="6" t="str">
        <x:v>سجل تنظيمي رسمي</x:v>
      </x:c>
    </x:row>
    <x:row r="8" ht="45" customHeight="1">
      <x:c r="A8" s="10" t="str">
        <x:v>F003</x:v>
      </x:c>
      <x:c r="B8" s="6" t="str">
        <x:v>Wamda Capital</x:v>
      </x:c>
      <x:c r="C8" s="6" t="str">
        <x:v>رأس مال جريء</x:v>
      </x:c>
      <x:c r="D8" s="6" t="str">
        <x:v>دبي</x:v>
      </x:c>
      <x:c r="E8" s="6" t="str">
        <x:v>تقنية متعددة القطاعات</x:v>
      </x:c>
      <x:c r="F8" s="6" t="str">
        <x:v>مراحل مبكرة</x:v>
      </x:c>
      <x:c r="G8" s="6" t="str">
        <x:v>حقوق ملكية</x:v>
      </x:c>
      <x:c r="H8" s="6" t="str">
        <x:v>استثمار مباشر</x:v>
      </x:c>
      <x:c r="I8" s="6" t="str">
        <x:v>info@wamdacapital.com</x:v>
      </x:c>
      <x:c r="J8" s="6" t="str">
        <x:v>غير متاح في المصادر المراجعة</x:v>
      </x:c>
      <x:c r="K8" s="6" t="str">
        <x:v>استفسارات عامة</x:v>
      </x:c>
      <x:c r="L8" s="14" t="e">
        <x:f>HYPERLINK("https://wamdacapital.com","wamdacapital.com")</x:f>
        <x:v>HYPERLINK is not implemented. linkLocation=https://wamdacapital.com, friendlyName=wamdacapital.com</x:v>
      </x:c>
      <x:c r="M8" s="14" t="e">
        <x:f>HYPERLINK("https://wamdacapital.com/contact-us/","wamdacapital.com")</x:f>
        <x:v>HYPERLINK is not implemented. linkLocation=https://wamdacapital.com/contact-us/, friendlyName=wamdacapital.com</x:v>
      </x:c>
      <x:c r="N8" s="6" t="str">
        <x:v>ملاءمة القطاع والمرحلة والنطاق الجغرافي؛ تأكيد مباشر</x:v>
      </x:c>
      <x:c r="O8" s="6" t="str">
        <x:v>غير مؤكد؛ راجع القناة المنشورة</x:v>
      </x:c>
      <x:c r="P8" s="13" t="str">
        <x:v>لم يتم التواصل</x:v>
      </x:c>
      <x:c r="Q8" s="6" t="str">
        <x:v>تأكيد جهة الاتصال والملاءمة ثم طلب متطلبات التقديم</x:v>
      </x:c>
      <x:c r="R8" s="6" t="str"/>
      <x:c r="S8" s="11" t="d">
        <x:v>2026-10-22T06:00:00.000Z</x:v>
      </x:c>
      <x:c r="T8" s="14" t="e">
        <x:f>HYPERLINK("https://wamdacapital.com/contact-us/","wamdacapital.com")</x:f>
        <x:v>HYPERLINK is not implemented. linkLocation=https://wamdacapital.com/contact-us/, friendlyName=wamdacapital.com</x:v>
      </x:c>
      <x:c r="U8" s="14" t="e">
        <x:f>HYPERLINK("https://wamdacapital.com/contact-us/","wamdacapital.com")</x:f>
        <x:v>HYPERLINK is not implemented. linkLocation=https://wamdacapital.com/contact-us/, friendlyName=wamdacapital.com</x:v>
      </x:c>
      <x:c r="V8" s="14" t="str">
        <x:v>غير متاح في المصادر المراجعة</x:v>
      </x:c>
      <x:c r="W8" s="6" t="str">
        <x:v>موقع الجهة أو قناة مرتبطة بها</x:v>
      </x:c>
      <x:c r="X8" s="6" t="str">
        <x:v>غير متاح في المصادر المراجعة</x:v>
      </x:c>
    </x:row>
    <x:row r="9" ht="45" customHeight="1">
      <x:c r="A9" s="10" t="str">
        <x:v>F004</x:v>
      </x:c>
      <x:c r="B9" s="6" t="str">
        <x:v>Global Ventures</x:v>
      </x:c>
      <x:c r="C9" s="6" t="str">
        <x:v>رأس مال جريء</x:v>
      </x:c>
      <x:c r="D9" s="6" t="str">
        <x:v>دبي</x:v>
      </x:c>
      <x:c r="E9" s="6" t="str">
        <x:v>تقنية متعددة القطاعات</x:v>
      </x:c>
      <x:c r="F9" s="6" t="str">
        <x:v>مراحل مبكرة ونمو</x:v>
      </x:c>
      <x:c r="G9" s="6" t="str">
        <x:v>حقوق ملكية</x:v>
      </x:c>
      <x:c r="H9" s="6" t="str">
        <x:v>استثمار مباشر</x:v>
      </x:c>
      <x:c r="I9" s="6" t="str">
        <x:v>info@global.vc</x:v>
      </x:c>
      <x:c r="J9" s="6" t="str">
        <x:v>غير متاح في المصادر المراجعة</x:v>
      </x:c>
      <x:c r="K9" s="6" t="str">
        <x:v>استفسارات عامة</x:v>
      </x:c>
      <x:c r="L9" s="14" t="e">
        <x:f>HYPERLINK("https://global.vc","global.vc")</x:f>
        <x:v>HYPERLINK is not implemented. linkLocation=https://global.vc, friendlyName=global.vc</x:v>
      </x:c>
      <x:c r="M9" s="14" t="e">
        <x:f>HYPERLINK("https://www.global.vc/contact","global.vc")</x:f>
        <x:v>HYPERLINK is not implemented. linkLocation=https://www.global.vc/contact, friendlyName=global.vc</x:v>
      </x:c>
      <x:c r="N9" s="6" t="str">
        <x:v>ملاءمة القطاع والمرحلة والنطاق الجغرافي؛ تأكيد مباشر</x:v>
      </x:c>
      <x:c r="O9" s="6" t="str">
        <x:v>غير مؤكد؛ راجع القناة المنشورة</x:v>
      </x:c>
      <x:c r="P9" s="13" t="str">
        <x:v>لم يتم التواصل</x:v>
      </x:c>
      <x:c r="Q9" s="6" t="str">
        <x:v>تأكيد جهة الاتصال والملاءمة ثم طلب متطلبات التقديم</x:v>
      </x:c>
      <x:c r="R9" s="6" t="str">
        <x:v>المقصود صندوق global.vc؛ استبعدت شركات المعدات ذات الاسم المشابه.</x:v>
      </x:c>
      <x:c r="S9" s="11" t="d">
        <x:v>2026-10-22T06:00:00.000Z</x:v>
      </x:c>
      <x:c r="T9" s="14" t="e">
        <x:f>HYPERLINK("https://www.global.vc/contact","global.vc")</x:f>
        <x:v>HYPERLINK is not implemented. linkLocation=https://www.global.vc/contact, friendlyName=global.vc</x:v>
      </x:c>
      <x:c r="U9" s="14" t="e">
        <x:f>HYPERLINK("https://jobs.global.vc/cookie-policy","jobs.global.vc")</x:f>
        <x:v>HYPERLINK is not implemented. linkLocation=https://jobs.global.vc/cookie-policy, friendlyName=jobs.global.vc</x:v>
      </x:c>
      <x:c r="V9" s="14" t="str">
        <x:v>غير متاح في المصادر المراجعة</x:v>
      </x:c>
      <x:c r="W9" s="6" t="str">
        <x:v>موقع الجهة أو قناة مرتبطة بها</x:v>
      </x:c>
      <x:c r="X9" s="6" t="str">
        <x:v>غير متاح في المصادر المراجعة</x:v>
      </x:c>
    </x:row>
    <x:row r="10" ht="45" customHeight="1">
      <x:c r="A10" s="10" t="str">
        <x:v>F005</x:v>
      </x:c>
      <x:c r="B10" s="6" t="str">
        <x:v>MEVP</x:v>
      </x:c>
      <x:c r="C10" s="6" t="str">
        <x:v>رأس مال جريء</x:v>
      </x:c>
      <x:c r="D10" s="6" t="str">
        <x:v>دبي</x:v>
      </x:c>
      <x:c r="E10" s="6" t="str">
        <x:v>تقنية متعددة القطاعات</x:v>
      </x:c>
      <x:c r="F10" s="6" t="str">
        <x:v>مبكرة ونمو</x:v>
      </x:c>
      <x:c r="G10" s="6" t="str">
        <x:v>حقوق ملكية</x:v>
      </x:c>
      <x:c r="H10" s="6" t="str">
        <x:v>استثمار مباشر</x:v>
      </x:c>
      <x:c r="I10" s="6" t="str">
        <x:v>info@mevp.com</x:v>
      </x:c>
      <x:c r="J10" s="6" t="str">
        <x:v>غير متاح في المصادر المراجعة</x:v>
      </x:c>
      <x:c r="K10" s="6" t="str">
        <x:v>استفسارات عامة</x:v>
      </x:c>
      <x:c r="L10" s="14" t="e">
        <x:f>HYPERLINK("https://mevp.com","mevp.com")</x:f>
        <x:v>HYPERLINK is not implemented. linkLocation=https://mevp.com, friendlyName=mevp.com</x:v>
      </x:c>
      <x:c r="M10" s="14" t="e">
        <x:f>HYPERLINK("https://jobs.mevp.com/cookie-policy","jobs.mevp.com")</x:f>
        <x:v>HYPERLINK is not implemented. linkLocation=https://jobs.mevp.com/cookie-policy, friendlyName=jobs.mevp.com</x:v>
      </x:c>
      <x:c r="N10" s="6" t="str">
        <x:v>ملاءمة القطاع والمرحلة والنطاق الجغرافي؛ تأكيد مباشر</x:v>
      </x:c>
      <x:c r="O10" s="6" t="str">
        <x:v>غير مؤكد؛ راجع القناة المنشورة</x:v>
      </x:c>
      <x:c r="P10" s="13" t="str">
        <x:v>لم يتم التواصل</x:v>
      </x:c>
      <x:c r="Q10" s="6" t="str">
        <x:v>تأكيد جهة الاتصال والملاءمة ثم طلب متطلبات التقديم</x:v>
      </x:c>
      <x:c r="R10" s="6" t="str"/>
      <x:c r="S10" s="11" t="d">
        <x:v>2026-10-22T06:00:00.000Z</x:v>
      </x:c>
      <x:c r="T10" s="14" t="e">
        <x:f>HYPERLINK("https://jobs.mevp.com/cookie-policy","jobs.mevp.com")</x:f>
        <x:v>HYPERLINK is not implemented. linkLocation=https://jobs.mevp.com/cookie-policy, friendlyName=jobs.mevp.com</x:v>
      </x:c>
      <x:c r="U10" s="14" t="e">
        <x:f>HYPERLINK("https://jobs.mevp.com/cookie-policy","jobs.mevp.com")</x:f>
        <x:v>HYPERLINK is not implemented. linkLocation=https://jobs.mevp.com/cookie-policy, friendlyName=jobs.mevp.com</x:v>
      </x:c>
      <x:c r="V10" s="14" t="str">
        <x:v>غير متاح في المصادر المراجعة</x:v>
      </x:c>
      <x:c r="W10" s="6" t="str">
        <x:v>موقع الجهة أو قناة مرتبطة بها</x:v>
      </x:c>
      <x:c r="X10" s="6" t="str">
        <x:v>غير متاح في المصادر المراجعة</x:v>
      </x:c>
    </x:row>
    <x:row r="11" ht="45" customHeight="1">
      <x:c r="A11" s="10" t="str">
        <x:v>F006</x:v>
      </x:c>
      <x:c r="B11" s="6" t="str">
        <x:v>Nuwa Capital</x:v>
      </x:c>
      <x:c r="C11" s="6" t="str">
        <x:v>رأس مال جريء</x:v>
      </x:c>
      <x:c r="D11" s="6" t="str">
        <x:v>دبي</x:v>
      </x:c>
      <x:c r="E11" s="6" t="str">
        <x:v>تقنية متعددة القطاعات</x:v>
      </x:c>
      <x:c r="F11" s="6" t="str">
        <x:v>مراحل مبكرة</x:v>
      </x:c>
      <x:c r="G11" s="6" t="str">
        <x:v>حقوق ملكية</x:v>
      </x:c>
      <x:c r="H11" s="6" t="str">
        <x:v>استثمار مباشر</x:v>
      </x:c>
      <x:c r="I11" s="6" t="str">
        <x:v>hello@nuwacapital.io</x:v>
      </x:c>
      <x:c r="J11" s="6" t="str">
        <x:v>غير متاح في المصادر المراجعة</x:v>
      </x:c>
      <x:c r="K11" s="6" t="str">
        <x:v>استفسارات عامة</x:v>
      </x:c>
      <x:c r="L11" s="14" t="e">
        <x:f>HYPERLINK("https://nuwacapital.io","nuwacapital.io")</x:f>
        <x:v>HYPERLINK is not implemented. linkLocation=https://nuwacapital.io, friendlyName=nuwacapital.io</x:v>
      </x:c>
      <x:c r="M11" s="14" t="e">
        <x:f>HYPERLINK("https://nuwacapital.webflow.io/contact","nuwacapital.webflow.io")</x:f>
        <x:v>HYPERLINK is not implemented. linkLocation=https://nuwacapital.webflow.io/contact, friendlyName=nuwacapital.webflow.io</x:v>
      </x:c>
      <x:c r="N11" s="6" t="str">
        <x:v>ملاءمة القطاع والمرحلة والنطاق الجغرافي؛ تأكيد مباشر</x:v>
      </x:c>
      <x:c r="O11" s="6" t="str">
        <x:v>غير مؤكد؛ راجع القناة المنشورة</x:v>
      </x:c>
      <x:c r="P11" s="13" t="str">
        <x:v>لم يتم التواصل</x:v>
      </x:c>
      <x:c r="Q11" s="6" t="str">
        <x:v>تأكيد جهة الاتصال والملاءمة ثم طلب متطلبات التقديم</x:v>
      </x:c>
      <x:c r="R11" s="6" t="str"/>
      <x:c r="S11" s="11" t="d">
        <x:v>2026-10-22T06:00:00.000Z</x:v>
      </x:c>
      <x:c r="T11" s="14" t="e">
        <x:f>HYPERLINK("https://nuwacapital.webflow.io/contact","nuwacapital.webflow.io")</x:f>
        <x:v>HYPERLINK is not implemented. linkLocation=https://nuwacapital.webflow.io/contact, friendlyName=nuwacapital.webflow.io</x:v>
      </x:c>
      <x:c r="U11" s="14" t="e">
        <x:f>HYPERLINK("https://nuwacapital.webflow.io/contact","nuwacapital.webflow.io")</x:f>
        <x:v>HYPERLINK is not implemented. linkLocation=https://nuwacapital.webflow.io/contact, friendlyName=nuwacapital.webflow.io</x:v>
      </x:c>
      <x:c r="V11" s="14" t="str">
        <x:v>غير متاح في المصادر المراجعة</x:v>
      </x:c>
      <x:c r="W11" s="6" t="str">
        <x:v>موقع الجهة أو قناة مرتبطة بها</x:v>
      </x:c>
      <x:c r="X11" s="6" t="str">
        <x:v>غير متاح في المصادر المراجعة</x:v>
      </x:c>
    </x:row>
    <x:row r="12" ht="45" customHeight="1">
      <x:c r="A12" s="10" t="str">
        <x:v>F007</x:v>
      </x:c>
      <x:c r="B12" s="6" t="str">
        <x:v>VentureSouq</x:v>
      </x:c>
      <x:c r="C12" s="6" t="str">
        <x:v>رأس مال جريء</x:v>
      </x:c>
      <x:c r="D12" s="6" t="str">
        <x:v>أبوظبي</x:v>
      </x:c>
      <x:c r="E12" s="6" t="str">
        <x:v>تقنية مالية ومناخية</x:v>
      </x:c>
      <x:c r="F12" s="6" t="str">
        <x:v>مراحل مبكرة</x:v>
      </x:c>
      <x:c r="G12" s="6" t="str">
        <x:v>حقوق ملكية</x:v>
      </x:c>
      <x:c r="H12" s="6" t="str">
        <x:v>استثمار مباشر</x:v>
      </x:c>
      <x:c r="I12" s="6" t="str">
        <x:v>info@venturesouq.com</x:v>
      </x:c>
      <x:c r="J12" s="6" t="str">
        <x:v>غير متاح في المصادر المراجعة</x:v>
      </x:c>
      <x:c r="K12" s="6" t="str">
        <x:v>استفسارات عامة</x:v>
      </x:c>
      <x:c r="L12" s="14" t="e">
        <x:f>HYPERLINK("https://venturesouq.com","venturesouq.com")</x:f>
        <x:v>HYPERLINK is not implemented. linkLocation=https://venturesouq.com, friendlyName=venturesouq.com</x:v>
      </x:c>
      <x:c r="M12" s="14" t="e">
        <x:f>HYPERLINK("https://www.venturesouq.com/contact","venturesouq.com")</x:f>
        <x:v>HYPERLINK is not implemented. linkLocation=https://www.venturesouq.com/contact, friendlyName=venturesouq.com</x:v>
      </x:c>
      <x:c r="N12" s="6" t="str">
        <x:v>ملاءمة القطاع والمرحلة والنطاق الجغرافي؛ تأكيد مباشر</x:v>
      </x:c>
      <x:c r="O12" s="6" t="str">
        <x:v>غير مؤكد؛ راجع القناة المنشورة</x:v>
      </x:c>
      <x:c r="P12" s="13" t="str">
        <x:v>لم يتم التواصل</x:v>
      </x:c>
      <x:c r="Q12" s="6" t="str">
        <x:v>تأكيد جهة الاتصال والملاءمة ثم طلب متطلبات التقديم</x:v>
      </x:c>
      <x:c r="R12" s="6" t="str"/>
      <x:c r="S12" s="11" t="d">
        <x:v>2026-10-22T06:00:00.000Z</x:v>
      </x:c>
      <x:c r="T12" s="14" t="e">
        <x:f>HYPERLINK("https://www.venturesouq.com/contact","venturesouq.com")</x:f>
        <x:v>HYPERLINK is not implemented. linkLocation=https://www.venturesouq.com/contact, friendlyName=venturesouq.com</x:v>
      </x:c>
      <x:c r="U12" s="14" t="e">
        <x:f>HYPERLINK("https://www.adgm.com/api/FSRAC_FirmPdf/GenerateFirmProfilePdf?FirmId=165875","adgm.com")</x:f>
        <x:v>HYPERLINK is not implemented. linkLocation=https://www.adgm.com/api/FSRAC_FirmPdf/GenerateFirmProfilePdf?FirmId=165875, friendlyName=adgm.com</x:v>
      </x:c>
      <x:c r="V12" s="14" t="str">
        <x:v>غير متاح في المصادر المراجعة</x:v>
      </x:c>
      <x:c r="W12" s="6" t="str">
        <x:v>سجل تنظيمي رسمي</x:v>
      </x:c>
      <x:c r="X12" s="6" t="str">
        <x:v>غير متاح في المصادر المراجعة</x:v>
      </x:c>
    </x:row>
    <x:row r="13" ht="45" customHeight="1">
      <x:c r="A13" s="10" t="str">
        <x:v>F008</x:v>
      </x:c>
      <x:c r="B13" s="6" t="str">
        <x:v>COTU Ventures</x:v>
      </x:c>
      <x:c r="C13" s="6" t="str">
        <x:v>رأس مال جريء</x:v>
      </x:c>
      <x:c r="D13" s="6" t="str">
        <x:v>دبي</x:v>
      </x:c>
      <x:c r="E13" s="6" t="str">
        <x:v>تقنية متعددة القطاعات</x:v>
      </x:c>
      <x:c r="F13" s="6" t="str">
        <x:v>Pre-Seed وSeed</x:v>
      </x:c>
      <x:c r="G13" s="6" t="str">
        <x:v>حقوق ملكية</x:v>
      </x:c>
      <x:c r="H13" s="6" t="str">
        <x:v>استثمار مباشر</x:v>
      </x:c>
      <x:c r="I13" s="6" t="str">
        <x:v>غير متاح في المصادر المراجعة</x:v>
      </x:c>
      <x:c r="J13" s="6" t="str">
        <x:v>غير متاح في المصادر المراجعة</x:v>
      </x:c>
      <x:c r="K13" s="6" t="str">
        <x:v>نموذج / موقع الجهة</x:v>
      </x:c>
      <x:c r="L13" s="14" t="e">
        <x:f>HYPERLINK("https://cotu.vc","cotu.vc")</x:f>
        <x:v>HYPERLINK is not implemented. linkLocation=https://cotu.vc, friendlyName=cotu.vc</x:v>
      </x:c>
      <x:c r="M13" s="14" t="e">
        <x:f>HYPERLINK("https://www.cotu.vc/","cotu.vc")</x:f>
        <x:v>HYPERLINK is not implemented. linkLocation=https://www.cotu.vc/, friendlyName=cotu.vc</x:v>
      </x:c>
      <x:c r="N13" s="6" t="str">
        <x:v>ملاءمة القطاع والمرحلة والنطاق الجغرافي؛ تأكيد مباشر</x:v>
      </x:c>
      <x:c r="O13" s="6" t="str">
        <x:v>غير مؤكد؛ راجع القناة المنشورة</x:v>
      </x:c>
      <x:c r="P13" s="13" t="str">
        <x:v>لم يتم التواصل</x:v>
      </x:c>
      <x:c r="Q13" s="6" t="str">
        <x:v>تأكيد جهة الاتصال والملاءمة ثم طلب متطلبات التقديم</x:v>
      </x:c>
      <x:c r="R13" s="6" t="str"/>
      <x:c r="S13" s="11" t="d">
        <x:v>2026-10-22T06:00:00.000Z</x:v>
      </x:c>
      <x:c r="T13" s="14" t="e">
        <x:f>HYPERLINK("https://www.cotu.vc/","cotu.vc")</x:f>
        <x:v>HYPERLINK is not implemented. linkLocation=https://www.cotu.vc/, friendlyName=cotu.vc</x:v>
      </x:c>
      <x:c r="U13" s="14" t="str">
        <x:v>غير متاح في المصادر المراجعة</x:v>
      </x:c>
      <x:c r="V13" s="14" t="str">
        <x:v>غير متاح في المصادر المراجعة</x:v>
      </x:c>
      <x:c r="W13" s="6" t="str">
        <x:v>غير متاح في المصادر المراجعة</x:v>
      </x:c>
      <x:c r="X13" s="6" t="str">
        <x:v>غير متاح في المصادر المراجعة</x:v>
      </x:c>
    </x:row>
    <x:row r="14" ht="45" customHeight="1">
      <x:c r="A14" s="10" t="str">
        <x:v>F009</x:v>
      </x:c>
      <x:c r="B14" s="6" t="str">
        <x:v>Iliad Partners</x:v>
      </x:c>
      <x:c r="C14" s="6" t="str">
        <x:v>رأس مال جريء</x:v>
      </x:c>
      <x:c r="D14" s="6" t="str">
        <x:v>أبوظبي</x:v>
      </x:c>
      <x:c r="E14" s="6" t="str">
        <x:v>تقنية متعددة القطاعات</x:v>
      </x:c>
      <x:c r="F14" s="6" t="str">
        <x:v>مراحل مبكرة</x:v>
      </x:c>
      <x:c r="G14" s="6" t="str">
        <x:v>حقوق ملكية</x:v>
      </x:c>
      <x:c r="H14" s="6" t="str">
        <x:v>استثمار مباشر</x:v>
      </x:c>
      <x:c r="I14" s="6" t="str">
        <x:v>info@iliad-partners.com</x:v>
      </x:c>
      <x:c r="J14" s="6" t="str">
        <x:v>غير متاح في المصادر المراجعة</x:v>
      </x:c>
      <x:c r="K14" s="6" t="str">
        <x:v>شراكات / استفسارات أعمال</x:v>
      </x:c>
      <x:c r="L14" s="14" t="e">
        <x:f>HYPERLINK("https://iliad-partners.com","iliad-partners.com")</x:f>
        <x:v>HYPERLINK is not implemented. linkLocation=https://iliad-partners.com, friendlyName=iliad-partners.com</x:v>
      </x:c>
      <x:c r="M14" s="14" t="e">
        <x:f>HYPERLINK("https://www.iliad-partners.com/contact","iliad-partners.com")</x:f>
        <x:v>HYPERLINK is not implemented. linkLocation=https://www.iliad-partners.com/contact, friendlyName=iliad-partners.com</x:v>
      </x:c>
      <x:c r="N14" s="6" t="str">
        <x:v>ملاءمة القطاع والمرحلة والنطاق الجغرافي؛ تأكيد مباشر</x:v>
      </x:c>
      <x:c r="O14" s="6" t="str">
        <x:v>غير مؤكد؛ راجع القناة المنشورة</x:v>
      </x:c>
      <x:c r="P14" s="13" t="str">
        <x:v>لم يتم التواصل</x:v>
      </x:c>
      <x:c r="Q14" s="6" t="str">
        <x:v>تأكيد جهة الاتصال والملاءمة ثم طلب متطلبات التقديم</x:v>
      </x:c>
      <x:c r="R14" s="6" t="str"/>
      <x:c r="S14" s="11" t="d">
        <x:v>2026-10-22T06:00:00.000Z</x:v>
      </x:c>
      <x:c r="T14" s="14" t="e">
        <x:f>HYPERLINK("https://www.iliad-partners.com/contact","iliad-partners.com")</x:f>
        <x:v>HYPERLINK is not implemented. linkLocation=https://www.iliad-partners.com/contact, friendlyName=iliad-partners.com</x:v>
      </x:c>
      <x:c r="U14" s="14" t="e">
        <x:f>HYPERLINK("https://www.privateequityinternational.com/institution-profiles/iliad-partners.html","privateequityinternational.com")</x:f>
        <x:v>HYPERLINK is not implemented. linkLocation=https://www.privateequityinternational.com/institution-profiles/iliad-partners.html, friendlyName=privateequityinternational.com</x:v>
      </x:c>
      <x:c r="V14" s="14" t="str">
        <x:v>غير متاح في المصادر المراجعة</x:v>
      </x:c>
      <x:c r="W14" s="6" t="str">
        <x:v>مصدر ثانوي؛ يلزم تأكيد مباشر</x:v>
      </x:c>
      <x:c r="X14" s="6" t="str">
        <x:v>غير متاح في المصادر المراجعة</x:v>
      </x:c>
    </x:row>
    <x:row r="15" ht="45" customHeight="1">
      <x:c r="A15" s="10" t="str">
        <x:v>F010</x:v>
      </x:c>
      <x:c r="B15" s="6" t="str">
        <x:v>Access Bridge Ventures</x:v>
      </x:c>
      <x:c r="C15" s="6" t="str">
        <x:v>رأس مال جريء</x:v>
      </x:c>
      <x:c r="D15" s="6" t="str">
        <x:v>الإمارات</x:v>
      </x:c>
      <x:c r="E15" s="6" t="str">
        <x:v>تقنية متعددة القطاعات</x:v>
      </x:c>
      <x:c r="F15" s="6" t="str">
        <x:v>Pre-Series A</x:v>
      </x:c>
      <x:c r="G15" s="6" t="str">
        <x:v>حقوق ملكية</x:v>
      </x:c>
      <x:c r="H15" s="6" t="str">
        <x:v>استثمار مباشر</x:v>
      </x:c>
      <x:c r="I15" s="6" t="str">
        <x:v>hello@access-bridge.com</x:v>
      </x:c>
      <x:c r="J15" s="6" t="str">
        <x:v>+971 4 587 6645</x:v>
      </x:c>
      <x:c r="K15" s="6" t="str">
        <x:v>استفسارات عامة</x:v>
      </x:c>
      <x:c r="L15" s="14" t="e">
        <x:f>HYPERLINK("https://access-bridge.com","access-bridge.com")</x:f>
        <x:v>HYPERLINK is not implemented. linkLocation=https://access-bridge.com, friendlyName=access-bridge.com</x:v>
      </x:c>
      <x:c r="M15" s="14" t="e">
        <x:f>HYPERLINK("https://access-bridge.com/","access-bridge.com")</x:f>
        <x:v>HYPERLINK is not implemented. linkLocation=https://access-bridge.com/, friendlyName=access-bridge.com</x:v>
      </x:c>
      <x:c r="N15" s="6" t="str">
        <x:v>ملاءمة القطاع والمرحلة والنطاق الجغرافي؛ تأكيد مباشر</x:v>
      </x:c>
      <x:c r="O15" s="6" t="str">
        <x:v>غير مؤكد؛ راجع القناة المنشورة</x:v>
      </x:c>
      <x:c r="P15" s="13" t="str">
        <x:v>لم يتم التواصل</x:v>
      </x:c>
      <x:c r="Q15" s="6" t="str">
        <x:v>تأكيد جهة الاتصال والملاءمة ثم طلب متطلبات التقديم</x:v>
      </x:c>
      <x:c r="R15" s="6" t="str"/>
      <x:c r="S15" s="11" t="d">
        <x:v>2026-10-22T06:00:00.000Z</x:v>
      </x:c>
      <x:c r="T15" s="14" t="e">
        <x:f>HYPERLINK("https://access-bridge.com/","access-bridge.com")</x:f>
        <x:v>HYPERLINK is not implemented. linkLocation=https://access-bridge.com/, friendlyName=access-bridge.com</x:v>
      </x:c>
      <x:c r="U15" s="14" t="e">
        <x:f>HYPERLINK("https://www.adgm.com/public-registers/fsra/firms/financial-firms/access-bridge-ventures-limited-200006","adgm.com")</x:f>
        <x:v>HYPERLINK is not implemented. linkLocation=https://www.adgm.com/public-registers/fsra/firms/financial-firms/access-bridge-ventures-limited-200006, friendlyName=adgm.com</x:v>
      </x:c>
      <x:c r="V15" s="14" t="e">
        <x:f>HYPERLINK("https://www.adgm.com/public-registers/fsra/firms/financial-firms/access-bridge-ventures-limited-200006","adgm.com")</x:f>
        <x:v>HYPERLINK is not implemented. linkLocation=https://www.adgm.com/public-registers/fsra/firms/financial-firms/access-bridge-ventures-limited-200006, friendlyName=adgm.com</x:v>
      </x:c>
      <x:c r="W15" s="6" t="str">
        <x:v>سجل تنظيمي رسمي</x:v>
      </x:c>
      <x:c r="X15" s="6" t="str">
        <x:v>سجل تنظيمي رسمي</x:v>
      </x:c>
    </x:row>
    <x:row r="16" ht="45" customHeight="1">
      <x:c r="A16" s="10" t="str">
        <x:v>F011</x:v>
      </x:c>
      <x:c r="B16" s="6" t="str">
        <x:v>Plus VC</x:v>
      </x:c>
      <x:c r="C16" s="6" t="str">
        <x:v>رأس مال جريء</x:v>
      </x:c>
      <x:c r="D16" s="6" t="str">
        <x:v>أبوظبي</x:v>
      </x:c>
      <x:c r="E16" s="6" t="str">
        <x:v>تقنية متعددة القطاعات</x:v>
      </x:c>
      <x:c r="F16" s="6" t="str">
        <x:v>مراحل مبكرة</x:v>
      </x:c>
      <x:c r="G16" s="6" t="str">
        <x:v>حقوق ملكية</x:v>
      </x:c>
      <x:c r="H16" s="6" t="str">
        <x:v>استثمار مباشر</x:v>
      </x:c>
      <x:c r="I16" s="6" t="str">
        <x:v>hello@plus.vc</x:v>
      </x:c>
      <x:c r="J16" s="6" t="str">
        <x:v>غير متاح في المصادر المراجعة</x:v>
      </x:c>
      <x:c r="K16" s="6" t="str">
        <x:v>استفسارات عامة</x:v>
      </x:c>
      <x:c r="L16" s="14" t="e">
        <x:f>HYPERLINK("https://plus.vc","plus.vc")</x:f>
        <x:v>HYPERLINK is not implemented. linkLocation=https://plus.vc, friendlyName=plus.vc</x:v>
      </x:c>
      <x:c r="M16" s="14" t="e">
        <x:f>HYPERLINK("https://plus.vc/contact","plus.vc")</x:f>
        <x:v>HYPERLINK is not implemented. linkLocation=https://plus.vc/contact, friendlyName=plus.vc</x:v>
      </x:c>
      <x:c r="N16" s="6" t="str">
        <x:v>ملاءمة القطاع والمرحلة والنطاق الجغرافي؛ تأكيد مباشر</x:v>
      </x:c>
      <x:c r="O16" s="6" t="str">
        <x:v>غير مؤكد؛ راجع القناة المنشورة</x:v>
      </x:c>
      <x:c r="P16" s="13" t="str">
        <x:v>لم يتم التواصل</x:v>
      </x:c>
      <x:c r="Q16" s="6" t="str">
        <x:v>تأكيد جهة الاتصال والملاءمة ثم طلب متطلبات التقديم</x:v>
      </x:c>
      <x:c r="R16" s="6" t="str"/>
      <x:c r="S16" s="11" t="d">
        <x:v>2026-10-22T06:00:00.000Z</x:v>
      </x:c>
      <x:c r="T16" s="14" t="e">
        <x:f>HYPERLINK("https://plus.vc/contact","plus.vc")</x:f>
        <x:v>HYPERLINK is not implemented. linkLocation=https://plus.vc/contact, friendlyName=plus.vc</x:v>
      </x:c>
      <x:c r="U16" s="14" t="e">
        <x:f>HYPERLINK("https://www.adgm.com/public-registers/fsra/firms/financial-firms/plus-vc-management-limited-200029","adgm.com")</x:f>
        <x:v>HYPERLINK is not implemented. linkLocation=https://www.adgm.com/public-registers/fsra/firms/financial-firms/plus-vc-management-limited-200029, friendlyName=adgm.com</x:v>
      </x:c>
      <x:c r="V16" s="14" t="str">
        <x:v>غير متاح في المصادر المراجعة</x:v>
      </x:c>
      <x:c r="W16" s="6" t="str">
        <x:v>سجل تنظيمي رسمي</x:v>
      </x:c>
      <x:c r="X16" s="6" t="str">
        <x:v>غير متاح في المصادر المراجعة</x:v>
      </x:c>
    </x:row>
    <x:row r="17" ht="45" customHeight="1">
      <x:c r="A17" s="10" t="str">
        <x:v>F012</x:v>
      </x:c>
      <x:c r="B17" s="6" t="str">
        <x:v>Further Ventures</x:v>
      </x:c>
      <x:c r="C17" s="6" t="str">
        <x:v>استوديو استثماري</x:v>
      </x:c>
      <x:c r="D17" s="6" t="str">
        <x:v>أبوظبي</x:v>
      </x:c>
      <x:c r="E17" s="6" t="str">
        <x:v>تقنية مالية وأصول رقمية</x:v>
      </x:c>
      <x:c r="F17" s="6" t="str">
        <x:v>تأسيس ومراحل مبكرة</x:v>
      </x:c>
      <x:c r="G17" s="6" t="str">
        <x:v>بناء مشاريع وحقوق ملكية</x:v>
      </x:c>
      <x:c r="H17" s="6" t="str">
        <x:v>استثمار مباشر</x:v>
      </x:c>
      <x:c r="I17" s="6" t="str">
        <x:v>reach@further.ae</x:v>
      </x:c>
      <x:c r="J17" s="6" t="str">
        <x:v>غير متاح في المصادر المراجعة</x:v>
      </x:c>
      <x:c r="K17" s="6" t="str">
        <x:v>شراكات / استفسارات أعمال</x:v>
      </x:c>
      <x:c r="L17" s="14" t="e">
        <x:f>HYPERLINK("https://ventures.further.ae","ventures.further.ae")</x:f>
        <x:v>HYPERLINK is not implemented. linkLocation=https://ventures.further.ae, friendlyName=ventures.further.ae</x:v>
      </x:c>
      <x:c r="M17" s="14" t="e">
        <x:f>HYPERLINK("https://ventures.further.ae/contact","ventures.further.ae")</x:f>
        <x:v>HYPERLINK is not implemented. linkLocation=https://ventures.further.ae/contact, friendlyName=ventures.further.ae</x:v>
      </x:c>
      <x:c r="N17" s="6" t="str">
        <x:v>ملاءمة القطاع والمرحلة والنطاق الجغرافي؛ تأكيد مباشر</x:v>
      </x:c>
      <x:c r="O17" s="6" t="str">
        <x:v>غير مؤكد؛ راجع القناة المنشورة</x:v>
      </x:c>
      <x:c r="P17" s="13" t="str">
        <x:v>لم يتم التواصل</x:v>
      </x:c>
      <x:c r="Q17" s="6" t="str">
        <x:v>تأكيد جهة الاتصال والملاءمة ثم طلب متطلبات التقديم</x:v>
      </x:c>
      <x:c r="R17" s="6" t="str"/>
      <x:c r="S17" s="11" t="d">
        <x:v>2026-10-22T06:00:00.000Z</x:v>
      </x:c>
      <x:c r="T17" s="14" t="e">
        <x:f>HYPERLINK("https://ventures.further.ae/contact","ventures.further.ae")</x:f>
        <x:v>HYPERLINK is not implemented. linkLocation=https://ventures.further.ae/contact, friendlyName=ventures.further.ae</x:v>
      </x:c>
      <x:c r="U17" s="14" t="e">
        <x:f>HYPERLINK("https://ventures.further.ae/contact","ventures.further.ae")</x:f>
        <x:v>HYPERLINK is not implemented. linkLocation=https://ventures.further.ae/contact, friendlyName=ventures.further.ae</x:v>
      </x:c>
      <x:c r="V17" s="14" t="str">
        <x:v>غير متاح في المصادر المراجعة</x:v>
      </x:c>
      <x:c r="W17" s="6" t="str">
        <x:v>موقع الجهة أو قناة مرتبطة بها</x:v>
      </x:c>
      <x:c r="X17" s="6" t="str">
        <x:v>غير متاح في المصادر المراجعة</x:v>
      </x:c>
    </x:row>
    <x:row r="18" ht="45" customHeight="1">
      <x:c r="A18" s="10" t="str">
        <x:v>F013</x:v>
      </x:c>
      <x:c r="B18" s="6" t="str">
        <x:v>Oraseya Capital</x:v>
      </x:c>
      <x:c r="C18" s="6" t="str">
        <x:v>رأس مال جريء حكومي</x:v>
      </x:c>
      <x:c r="D18" s="6" t="str">
        <x:v>دبي</x:v>
      </x:c>
      <x:c r="E18" s="6" t="str">
        <x:v>تقنية مرتبطة بالإمارات</x:v>
      </x:c>
      <x:c r="F18" s="6" t="str">
        <x:v>Pre-Seed إلى Series B</x:v>
      </x:c>
      <x:c r="G18" s="6" t="str">
        <x:v>حقوق ملكية</x:v>
      </x:c>
      <x:c r="H18" s="6" t="str">
        <x:v>استثمار مباشر</x:v>
      </x:c>
      <x:c r="I18" s="6" t="str">
        <x:v>info@oraseya.ae</x:v>
      </x:c>
      <x:c r="J18" s="6" t="str">
        <x:v>غير متاح في المصادر المراجعة</x:v>
      </x:c>
      <x:c r="K18" s="6" t="str">
        <x:v>استفسارات عامة</x:v>
      </x:c>
      <x:c r="L18" s="14" t="e">
        <x:f>HYPERLINK("https://oraseyacapital.com","oraseyacapital.com")</x:f>
        <x:v>HYPERLINK is not implemented. linkLocation=https://oraseyacapital.com, friendlyName=oraseyacapital.com</x:v>
      </x:c>
      <x:c r="M18" s="14" t="e">
        <x:f>HYPERLINK("https://www.oraseyacapital.com/","oraseyacapital.com")</x:f>
        <x:v>HYPERLINK is not implemented. linkLocation=https://www.oraseyacapital.com/, friendlyName=oraseyacapital.com</x:v>
      </x:c>
      <x:c r="N18" s="6" t="str">
        <x:v>ملاءمة القطاع والمرحلة والنطاق الجغرافي؛ تأكيد مباشر</x:v>
      </x:c>
      <x:c r="O18" s="6" t="str">
        <x:v>غير مؤكد؛ راجع القناة المنشورة</x:v>
      </x:c>
      <x:c r="P18" s="13" t="str">
        <x:v>لم يتم التواصل</x:v>
      </x:c>
      <x:c r="Q18" s="6" t="str">
        <x:v>تأكيد جهة الاتصال والملاءمة ثم طلب متطلبات التقديم</x:v>
      </x:c>
      <x:c r="R18" s="6" t="str"/>
      <x:c r="S18" s="11" t="d">
        <x:v>2026-10-22T06:00:00.000Z</x:v>
      </x:c>
      <x:c r="T18" s="14" t="e">
        <x:f>HYPERLINK("https://www.oraseyacapital.com/","oraseyacapital.com")</x:f>
        <x:v>HYPERLINK is not implemented. linkLocation=https://www.oraseyacapital.com/, friendlyName=oraseyacapital.com</x:v>
      </x:c>
      <x:c r="U18" s="14" t="e">
        <x:f>HYPERLINK("https://www.oraseyacapital.com/privacypolicy","oraseyacapital.com")</x:f>
        <x:v>HYPERLINK is not implemented. linkLocation=https://www.oraseyacapital.com/privacypolicy, friendlyName=oraseyacapital.com</x:v>
      </x:c>
      <x:c r="V18" s="14" t="str">
        <x:v>غير متاح في المصادر المراجعة</x:v>
      </x:c>
      <x:c r="W18" s="6" t="str">
        <x:v>موقع الجهة أو قناة مرتبطة بها</x:v>
      </x:c>
      <x:c r="X18" s="6" t="str">
        <x:v>غير متاح في المصادر المراجعة</x:v>
      </x:c>
    </x:row>
    <x:row r="19" ht="45" customHeight="1">
      <x:c r="A19" s="10" t="str">
        <x:v>F014</x:v>
      </x:c>
      <x:c r="B19" s="6" t="str">
        <x:v>Phoenix Venture Partners</x:v>
      </x:c>
      <x:c r="C19" s="6" t="str">
        <x:v>رأس مال جريء</x:v>
      </x:c>
      <x:c r="D19" s="6" t="str">
        <x:v>أبوظبي</x:v>
      </x:c>
      <x:c r="E19" s="6" t="str">
        <x:v>تقنية متعددة القطاعات</x:v>
      </x:c>
      <x:c r="F19" s="6" t="str">
        <x:v>مبكرة ونمو</x:v>
      </x:c>
      <x:c r="G19" s="6" t="str">
        <x:v>حقوق ملكية</x:v>
      </x:c>
      <x:c r="H19" s="6" t="str">
        <x:v>استثمار مباشر</x:v>
      </x:c>
      <x:c r="I19" s="6" t="str">
        <x:v>getfunded@pvp-me.com</x:v>
      </x:c>
      <x:c r="J19" s="6" t="str">
        <x:v>+971 2 418 7556</x:v>
      </x:c>
      <x:c r="K19" s="6" t="str">
        <x:v>تمويل / مؤسسون</x:v>
      </x:c>
      <x:c r="L19" s="14" t="e">
        <x:f>HYPERLINK("https://pvp-me.com","pvp-me.com")</x:f>
        <x:v>HYPERLINK is not implemented. linkLocation=https://pvp-me.com, friendlyName=pvp-me.com</x:v>
      </x:c>
      <x:c r="M19" s="14" t="e">
        <x:f>HYPERLINK("https://pvp-me.com/","pvp-me.com")</x:f>
        <x:v>HYPERLINK is not implemented. linkLocation=https://pvp-me.com/, friendlyName=pvp-me.com</x:v>
      </x:c>
      <x:c r="N19" s="6" t="str">
        <x:v>ملاءمة القطاع والمرحلة والنطاق الجغرافي؛ تأكيد مباشر</x:v>
      </x:c>
      <x:c r="O19" s="6" t="str">
        <x:v>غير مؤكد؛ راجع القناة المنشورة</x:v>
      </x:c>
      <x:c r="P19" s="13" t="str">
        <x:v>لم يتم التواصل</x:v>
      </x:c>
      <x:c r="Q19" s="6" t="str">
        <x:v>تأكيد جهة الاتصال والملاءمة ثم طلب متطلبات التقديم</x:v>
      </x:c>
      <x:c r="R19" s="6" t="str"/>
      <x:c r="S19" s="11" t="d">
        <x:v>2026-10-22T06:00:00.000Z</x:v>
      </x:c>
      <x:c r="T19" s="14" t="e">
        <x:f>HYPERLINK("https://pvp-me.com/","pvp-me.com")</x:f>
        <x:v>HYPERLINK is not implemented. linkLocation=https://pvp-me.com/, friendlyName=pvp-me.com</x:v>
      </x:c>
      <x:c r="U19" s="14" t="e">
        <x:f>HYPERLINK("https://pvp-me.com/","pvp-me.com")</x:f>
        <x:v>HYPERLINK is not implemented. linkLocation=https://pvp-me.com/, friendlyName=pvp-me.com</x:v>
      </x:c>
      <x:c r="V19" s="14" t="e">
        <x:f>HYPERLINK("https://pvp-me.com/","pvp-me.com")</x:f>
        <x:v>HYPERLINK is not implemented. linkLocation=https://pvp-me.com/, friendlyName=pvp-me.com</x:v>
      </x:c>
      <x:c r="W19" s="6" t="str">
        <x:v>موقع الجهة أو قناة مرتبطة بها</x:v>
      </x:c>
      <x:c r="X19" s="6" t="str">
        <x:v>موقع الجهة أو قناة مرتبطة بها</x:v>
      </x:c>
    </x:row>
    <x:row r="20" ht="45" customHeight="1">
      <x:c r="A20" s="10" t="str">
        <x:v>F015</x:v>
      </x:c>
      <x:c r="B20" s="6" t="str">
        <x:v>Bunat Ventures</x:v>
      </x:c>
      <x:c r="C20" s="6" t="str">
        <x:v>رأس مال جريء</x:v>
      </x:c>
      <x:c r="D20" s="6" t="str">
        <x:v>أبوظبي</x:v>
      </x:c>
      <x:c r="E20" s="6" t="str">
        <x:v>تقنية متعددة القطاعات</x:v>
      </x:c>
      <x:c r="F20" s="6" t="str">
        <x:v>مراحل مبكرة</x:v>
      </x:c>
      <x:c r="G20" s="6" t="str">
        <x:v>بناء مشاريع وحقوق ملكية</x:v>
      </x:c>
      <x:c r="H20" s="6" t="str">
        <x:v>استثمار مباشر</x:v>
      </x:c>
      <x:c r="I20" s="6" t="str">
        <x:v>غير متاح في المصادر المراجعة</x:v>
      </x:c>
      <x:c r="J20" s="6" t="str">
        <x:v>غير متاح في المصادر المراجعة</x:v>
      </x:c>
      <x:c r="K20" s="6" t="str">
        <x:v>نموذج / موقع الجهة</x:v>
      </x:c>
      <x:c r="L20" s="14" t="e">
        <x:f>HYPERLINK("https://bunat.vc","bunat.vc")</x:f>
        <x:v>HYPERLINK is not implemented. linkLocation=https://bunat.vc, friendlyName=bunat.vc</x:v>
      </x:c>
      <x:c r="M20" s="14" t="e">
        <x:f>HYPERLINK("https://bunat.vc/contact/","bunat.vc")</x:f>
        <x:v>HYPERLINK is not implemented. linkLocation=https://bunat.vc/contact/, friendlyName=bunat.vc</x:v>
      </x:c>
      <x:c r="N20" s="6" t="str">
        <x:v>ملاءمة القطاع والمرحلة والنطاق الجغرافي؛ تأكيد مباشر</x:v>
      </x:c>
      <x:c r="O20" s="6" t="str">
        <x:v>غير مؤكد؛ راجع القناة المنشورة</x:v>
      </x:c>
      <x:c r="P20" s="13" t="str">
        <x:v>لم يتم التواصل</x:v>
      </x:c>
      <x:c r="Q20" s="6" t="str">
        <x:v>تأكيد جهة الاتصال والملاءمة ثم طلب متطلبات التقديم</x:v>
      </x:c>
      <x:c r="R20" s="6" t="str"/>
      <x:c r="S20" s="11" t="d">
        <x:v>2026-10-22T06:00:00.000Z</x:v>
      </x:c>
      <x:c r="T20" s="14" t="e">
        <x:f>HYPERLINK("https://bunat.vc/contact/","bunat.vc")</x:f>
        <x:v>HYPERLINK is not implemented. linkLocation=https://bunat.vc/contact/, friendlyName=bunat.vc</x:v>
      </x:c>
      <x:c r="U20" s="14" t="str">
        <x:v>غير متاح في المصادر المراجعة</x:v>
      </x:c>
      <x:c r="V20" s="14" t="str">
        <x:v>غير متاح في المصادر المراجعة</x:v>
      </x:c>
      <x:c r="W20" s="6" t="str">
        <x:v>غير متاح في المصادر المراجعة</x:v>
      </x:c>
      <x:c r="X20" s="6" t="str">
        <x:v>غير متاح في المصادر المراجعة</x:v>
      </x:c>
    </x:row>
    <x:row r="21" ht="45" customHeight="1">
      <x:c r="A21" s="10" t="str">
        <x:v>F016</x:v>
      </x:c>
      <x:c r="B21" s="6" t="str">
        <x:v>Jasoor Ventures</x:v>
      </x:c>
      <x:c r="C21" s="6" t="str">
        <x:v>رأس مال جريء</x:v>
      </x:c>
      <x:c r="D21" s="6" t="str">
        <x:v>أبوظبي</x:v>
      </x:c>
      <x:c r="E21" s="6" t="str">
        <x:v>تقنية متعددة القطاعات</x:v>
      </x:c>
      <x:c r="F21" s="6" t="str">
        <x:v>مراحل مبكرة</x:v>
      </x:c>
      <x:c r="G21" s="6" t="str">
        <x:v>حقوق ملكية</x:v>
      </x:c>
      <x:c r="H21" s="6" t="str">
        <x:v>استثمار مباشر</x:v>
      </x:c>
      <x:c r="I21" s="6" t="str">
        <x:v>hello@jasoor.vc</x:v>
      </x:c>
      <x:c r="J21" s="6" t="str">
        <x:v>غير متاح في المصادر المراجعة</x:v>
      </x:c>
      <x:c r="K21" s="6" t="str">
        <x:v>استفسارات عامة</x:v>
      </x:c>
      <x:c r="L21" s="14" t="e">
        <x:f>HYPERLINK("https://jasoor.vc","jasoor.vc")</x:f>
        <x:v>HYPERLINK is not implemented. linkLocation=https://jasoor.vc, friendlyName=jasoor.vc</x:v>
      </x:c>
      <x:c r="M21" s="14" t="e">
        <x:f>HYPERLINK("https://jasoor.vc/","jasoor.vc")</x:f>
        <x:v>HYPERLINK is not implemented. linkLocation=https://jasoor.vc/, friendlyName=jasoor.vc</x:v>
      </x:c>
      <x:c r="N21" s="6" t="str">
        <x:v>ملاءمة القطاع والمرحلة والنطاق الجغرافي؛ تأكيد مباشر</x:v>
      </x:c>
      <x:c r="O21" s="6" t="str">
        <x:v>غير مؤكد؛ راجع القناة المنشورة</x:v>
      </x:c>
      <x:c r="P21" s="13" t="str">
        <x:v>لم يتم التواصل</x:v>
      </x:c>
      <x:c r="Q21" s="6" t="str">
        <x:v>تأكيد جهة الاتصال والملاءمة ثم طلب متطلبات التقديم</x:v>
      </x:c>
      <x:c r="R21" s="6" t="str"/>
      <x:c r="S21" s="11" t="d">
        <x:v>2026-10-22T06:00:00.000Z</x:v>
      </x:c>
      <x:c r="T21" s="14" t="e">
        <x:f>HYPERLINK("https://jasoor.vc/","jasoor.vc")</x:f>
        <x:v>HYPERLINK is not implemented. linkLocation=https://jasoor.vc/, friendlyName=jasoor.vc</x:v>
      </x:c>
      <x:c r="U21" s="14" t="e">
        <x:f>HYPERLINK("https://jasoor.vc/","jasoor.vc")</x:f>
        <x:v>HYPERLINK is not implemented. linkLocation=https://jasoor.vc/, friendlyName=jasoor.vc</x:v>
      </x:c>
      <x:c r="V21" s="14" t="str">
        <x:v>غير متاح في المصادر المراجعة</x:v>
      </x:c>
      <x:c r="W21" s="6" t="str">
        <x:v>موقع الجهة أو قناة مرتبطة بها</x:v>
      </x:c>
      <x:c r="X21" s="6" t="str">
        <x:v>غير متاح في المصادر المراجعة</x:v>
      </x:c>
    </x:row>
    <x:row r="22" ht="45" customHeight="1">
      <x:c r="A22" s="10" t="str">
        <x:v>F017</x:v>
      </x:c>
      <x:c r="B22" s="6" t="str">
        <x:v>Natural Ventures</x:v>
      </x:c>
      <x:c r="C22" s="6" t="str">
        <x:v>رأس مال جريء</x:v>
      </x:c>
      <x:c r="D22" s="6" t="str">
        <x:v>أبوظبي</x:v>
      </x:c>
      <x:c r="E22" s="6" t="str">
        <x:v>المياه والأمن الغذائي</x:v>
      </x:c>
      <x:c r="F22" s="6" t="str">
        <x:v>حسب استراتيجية الصندوق</x:v>
      </x:c>
      <x:c r="G22" s="6" t="str">
        <x:v>حقوق ملكية</x:v>
      </x:c>
      <x:c r="H22" s="6" t="str">
        <x:v>استثمار مباشر</x:v>
      </x:c>
      <x:c r="I22" s="6" t="str">
        <x:v>hello@natural.ventures</x:v>
      </x:c>
      <x:c r="J22" s="6" t="str">
        <x:v>غير متاح في المصادر المراجعة</x:v>
      </x:c>
      <x:c r="K22" s="6" t="str">
        <x:v>استفسارات عامة</x:v>
      </x:c>
      <x:c r="L22" s="14" t="e">
        <x:f>HYPERLINK("https://natural.ventures","natural.ventures")</x:f>
        <x:v>HYPERLINK is not implemented. linkLocation=https://natural.ventures, friendlyName=natural.ventures</x:v>
      </x:c>
      <x:c r="M22" s="14" t="e">
        <x:f>HYPERLINK("https://natural.ventures/contact-us/","natural.ventures")</x:f>
        <x:v>HYPERLINK is not implemented. linkLocation=https://natural.ventures/contact-us/, friendlyName=natural.ventures</x:v>
      </x:c>
      <x:c r="N22" s="6" t="str">
        <x:v>ملاءمة القطاع والمرحلة والنطاق الجغرافي؛ تأكيد مباشر</x:v>
      </x:c>
      <x:c r="O22" s="6" t="str">
        <x:v>غير مؤكد؛ راجع القناة المنشورة</x:v>
      </x:c>
      <x:c r="P22" s="13" t="str">
        <x:v>لم يتم التواصل</x:v>
      </x:c>
      <x:c r="Q22" s="6" t="str">
        <x:v>تأكيد جهة الاتصال والملاءمة ثم طلب متطلبات التقديم</x:v>
      </x:c>
      <x:c r="R22" s="6" t="str"/>
      <x:c r="S22" s="11" t="d">
        <x:v>2026-10-22T06:00:00.000Z</x:v>
      </x:c>
      <x:c r="T22" s="14" t="e">
        <x:f>HYPERLINK("https://natural.ventures/contact-us/","natural.ventures")</x:f>
        <x:v>HYPERLINK is not implemented. linkLocation=https://natural.ventures/contact-us/, friendlyName=natural.ventures</x:v>
      </x:c>
      <x:c r="U22" s="14" t="e">
        <x:f>HYPERLINK("https://natural.ventures/contact-us/","natural.ventures")</x:f>
        <x:v>HYPERLINK is not implemented. linkLocation=https://natural.ventures/contact-us/, friendlyName=natural.ventures</x:v>
      </x:c>
      <x:c r="V22" s="14" t="str">
        <x:v>غير متاح في المصادر المراجعة</x:v>
      </x:c>
      <x:c r="W22" s="6" t="str">
        <x:v>موقع الجهة أو قناة مرتبطة بها</x:v>
      </x:c>
      <x:c r="X22" s="6" t="str">
        <x:v>غير متاح في المصادر المراجعة</x:v>
      </x:c>
    </x:row>
    <x:row r="23" ht="45" customHeight="1">
      <x:c r="A23" s="10" t="str">
        <x:v>F018</x:v>
      </x:c>
      <x:c r="B23" s="6" t="str">
        <x:v>Mindshift Capital</x:v>
      </x:c>
      <x:c r="C23" s="6" t="str">
        <x:v>رأس مال جريء</x:v>
      </x:c>
      <x:c r="D23" s="6" t="str">
        <x:v>دبي</x:v>
      </x:c>
      <x:c r="E23" s="6" t="str">
        <x:v>شركات تقودها نساء</x:v>
      </x:c>
      <x:c r="F23" s="6" t="str">
        <x:v>Post-Seed</x:v>
      </x:c>
      <x:c r="G23" s="6" t="str">
        <x:v>حقوق ملكية</x:v>
      </x:c>
      <x:c r="H23" s="6" t="str">
        <x:v>استثمار مباشر</x:v>
      </x:c>
      <x:c r="I23" s="6" t="str">
        <x:v>kayla@mindshiftcapital.com</x:v>
      </x:c>
      <x:c r="J23" s="6" t="str">
        <x:v>غير متاح في المصادر المراجعة</x:v>
      </x:c>
      <x:c r="K23" s="6" t="str">
        <x:v>بريد عمل منشور لمسؤول بالجهة</x:v>
      </x:c>
      <x:c r="L23" s="14" t="e">
        <x:f>HYPERLINK("https://mindshiftcapital.com","mindshiftcapital.com")</x:f>
        <x:v>HYPERLINK is not implemented. linkLocation=https://mindshiftcapital.com, friendlyName=mindshiftcapital.com</x:v>
      </x:c>
      <x:c r="M23" s="14" t="e">
        <x:f>HYPERLINK("https://www.mindshiftcapital.com/","mindshiftcapital.com")</x:f>
        <x:v>HYPERLINK is not implemented. linkLocation=https://www.mindshiftcapital.com/, friendlyName=mindshiftcapital.com</x:v>
      </x:c>
      <x:c r="N23" s="6" t="str">
        <x:v>ملاءمة القطاع والمرحلة والنطاق الجغرافي؛ تأكيد مباشر</x:v>
      </x:c>
      <x:c r="O23" s="6" t="str">
        <x:v>غير مؤكد؛ راجع القناة المنشورة</x:v>
      </x:c>
      <x:c r="P23" s="13" t="str">
        <x:v>لم يتم التواصل</x:v>
      </x:c>
      <x:c r="Q23" s="6" t="str">
        <x:v>تأكيد جهة الاتصال والملاءمة ثم طلب متطلبات التقديم</x:v>
      </x:c>
      <x:c r="R23" s="6" t="str"/>
      <x:c r="S23" s="11" t="d">
        <x:v>2026-10-22T06:00:00.000Z</x:v>
      </x:c>
      <x:c r="T23" s="14" t="e">
        <x:f>HYPERLINK("https://www.mindshiftcapital.com/","mindshiftcapital.com")</x:f>
        <x:v>HYPERLINK is not implemented. linkLocation=https://www.mindshiftcapital.com/, friendlyName=mindshiftcapital.com</x:v>
      </x:c>
      <x:c r="U23" s="14" t="e">
        <x:f>HYPERLINK("https://www.mindshiftcapital.com/","mindshiftcapital.com")</x:f>
        <x:v>HYPERLINK is not implemented. linkLocation=https://www.mindshiftcapital.com/, friendlyName=mindshiftcapital.com</x:v>
      </x:c>
      <x:c r="V23" s="14" t="str">
        <x:v>غير متاح في المصادر المراجعة</x:v>
      </x:c>
      <x:c r="W23" s="6" t="str">
        <x:v>موقع الجهة أو قناة مرتبطة بها</x:v>
      </x:c>
      <x:c r="X23" s="6" t="str">
        <x:v>غير متاح في المصادر المراجعة</x:v>
      </x:c>
    </x:row>
    <x:row r="24" ht="45" customHeight="1">
      <x:c r="A24" s="10" t="str">
        <x:v>F019</x:v>
      </x:c>
      <x:c r="B24" s="6" t="str">
        <x:v>Jabbar Internet Group</x:v>
      </x:c>
      <x:c r="C24" s="6" t="str">
        <x:v>استثمار تقني</x:v>
      </x:c>
      <x:c r="D24" s="6" t="str">
        <x:v>دبي</x:v>
      </x:c>
      <x:c r="E24" s="6" t="str">
        <x:v>الإنترنت والتقنية</x:v>
      </x:c>
      <x:c r="F24" s="6" t="str">
        <x:v>حسب الفرصة</x:v>
      </x:c>
      <x:c r="G24" s="6" t="str">
        <x:v>حقوق ملكية</x:v>
      </x:c>
      <x:c r="H24" s="6" t="str">
        <x:v>استثمار مباشر</x:v>
      </x:c>
      <x:c r="I24" s="6" t="str">
        <x:v>info@jabbar.com</x:v>
      </x:c>
      <x:c r="J24" s="6" t="str">
        <x:v>غير متاح في المصادر المراجعة</x:v>
      </x:c>
      <x:c r="K24" s="6" t="str">
        <x:v>استفسارات عامة</x:v>
      </x:c>
      <x:c r="L24" s="14" t="e">
        <x:f>HYPERLINK("https://jabbar.com","jabbar.com")</x:f>
        <x:v>HYPERLINK is not implemented. linkLocation=https://jabbar.com, friendlyName=jabbar.com</x:v>
      </x:c>
      <x:c r="M24" s="14" t="e">
        <x:f>HYPERLINK("https://jabbar.com/","jabbar.com")</x:f>
        <x:v>HYPERLINK is not implemented. linkLocation=https://jabbar.com/, friendlyName=jabbar.com</x:v>
      </x:c>
      <x:c r="N24" s="6" t="str">
        <x:v>ملاءمة القطاع والمرحلة والنطاق الجغرافي؛ تأكيد مباشر</x:v>
      </x:c>
      <x:c r="O24" s="6" t="str">
        <x:v>غير مؤكد؛ راجع القناة المنشورة</x:v>
      </x:c>
      <x:c r="P24" s="13" t="str">
        <x:v>لم يتم التواصل</x:v>
      </x:c>
      <x:c r="Q24" s="6" t="str">
        <x:v>تأكيد جهة الاتصال والملاءمة ثم طلب متطلبات التقديم</x:v>
      </x:c>
      <x:c r="R24" s="6" t="str"/>
      <x:c r="S24" s="11" t="d">
        <x:v>2026-10-22T06:00:00.000Z</x:v>
      </x:c>
      <x:c r="T24" s="14" t="e">
        <x:f>HYPERLINK("https://jabbar.com/","jabbar.com")</x:f>
        <x:v>HYPERLINK is not implemented. linkLocation=https://jabbar.com/, friendlyName=jabbar.com</x:v>
      </x:c>
      <x:c r="U24" s="14" t="e">
        <x:f>HYPERLINK("https://find-lead.com/jabbar-internet-group-details","find-lead.com")</x:f>
        <x:v>HYPERLINK is not implemented. linkLocation=https://find-lead.com/jabbar-internet-group-details, friendlyName=find-lead.com</x:v>
      </x:c>
      <x:c r="V24" s="14" t="str">
        <x:v>غير متاح في المصادر المراجعة</x:v>
      </x:c>
      <x:c r="W24" s="6" t="str">
        <x:v>مصدر ثانوي؛ يلزم تأكيد مباشر</x:v>
      </x:c>
      <x:c r="X24" s="6" t="str">
        <x:v>غير متاح في المصادر المراجعة</x:v>
      </x:c>
    </x:row>
    <x:row r="25" ht="45" customHeight="1">
      <x:c r="A25" s="10" t="str">
        <x:v>F020</x:v>
      </x:c>
      <x:c r="B25" s="6" t="str">
        <x:v>Modus Capital</x:v>
      </x:c>
      <x:c r="C25" s="6" t="str">
        <x:v>استوديو استثماري</x:v>
      </x:c>
      <x:c r="D25" s="6" t="str">
        <x:v>أبوظبي</x:v>
      </x:c>
      <x:c r="E25" s="6" t="str">
        <x:v>تقنية متعددة القطاعات</x:v>
      </x:c>
      <x:c r="F25" s="6" t="str">
        <x:v>مبكرة ومتوسطة</x:v>
      </x:c>
      <x:c r="G25" s="6" t="str">
        <x:v>بناء مشاريع وحقوق ملكية</x:v>
      </x:c>
      <x:c r="H25" s="6" t="str">
        <x:v>استثمار مباشر</x:v>
      </x:c>
      <x:c r="I25" s="6" t="str">
        <x:v>comms@modus.vc</x:v>
      </x:c>
      <x:c r="J25" s="6" t="str">
        <x:v>غير متاح في المصادر المراجعة</x:v>
      </x:c>
      <x:c r="K25" s="6" t="str">
        <x:v>إعلام؛ اطلب تحويلك للفريق المختص</x:v>
      </x:c>
      <x:c r="L25" s="14" t="e">
        <x:f>HYPERLINK("https://modus.vc","modus.vc")</x:f>
        <x:v>HYPERLINK is not implemented. linkLocation=https://modus.vc, friendlyName=modus.vc</x:v>
      </x:c>
      <x:c r="M25" s="14" t="e">
        <x:f>HYPERLINK("https://modus.vc/contact/","modus.vc")</x:f>
        <x:v>HYPERLINK is not implemented. linkLocation=https://modus.vc/contact/, friendlyName=modus.vc</x:v>
      </x:c>
      <x:c r="N25" s="6" t="str">
        <x:v>ملاءمة القطاع والمرحلة والنطاق الجغرافي؛ تأكيد مباشر</x:v>
      </x:c>
      <x:c r="O25" s="6" t="str">
        <x:v>غير مؤكد؛ راجع القناة المنشورة</x:v>
      </x:c>
      <x:c r="P25" s="13" t="str">
        <x:v>لم يتم التواصل</x:v>
      </x:c>
      <x:c r="Q25" s="6" t="str">
        <x:v>تأكيد جهة الاتصال والملاءمة ثم طلب متطلبات التقديم</x:v>
      </x:c>
      <x:c r="R25" s="6" t="str"/>
      <x:c r="S25" s="11" t="d">
        <x:v>2026-10-22T06:00:00.000Z</x:v>
      </x:c>
      <x:c r="T25" s="14" t="e">
        <x:f>HYPERLINK("https://modus.vc/contact/","modus.vc")</x:f>
        <x:v>HYPERLINK is not implemented. linkLocation=https://modus.vc/contact/, friendlyName=modus.vc</x:v>
      </x:c>
      <x:c r="U25" s="14" t="e">
        <x:f>HYPERLINK("https://modus.vc/press-kit/","modus.vc")</x:f>
        <x:v>HYPERLINK is not implemented. linkLocation=https://modus.vc/press-kit/, friendlyName=modus.vc</x:v>
      </x:c>
      <x:c r="V25" s="14" t="str">
        <x:v>غير متاح في المصادر المراجعة</x:v>
      </x:c>
      <x:c r="W25" s="6" t="str">
        <x:v>موقع الجهة أو قناة مرتبطة بها</x:v>
      </x:c>
      <x:c r="X25" s="6" t="str">
        <x:v>غير متاح في المصادر المراجعة</x:v>
      </x:c>
    </x:row>
    <x:row r="26" ht="45" customHeight="1">
      <x:c r="A26" s="10" t="str">
        <x:v>F021</x:v>
      </x:c>
      <x:c r="B26" s="6" t="str">
        <x:v>Mubadala Capital</x:v>
      </x:c>
      <x:c r="C26" s="6" t="str">
        <x:v>استثمار سيادي</x:v>
      </x:c>
      <x:c r="D26" s="6" t="str">
        <x:v>أبوظبي</x:v>
      </x:c>
      <x:c r="E26" s="6" t="str">
        <x:v>استثمارات خاصة وتقنية</x:v>
      </x:c>
      <x:c r="F26" s="6" t="str">
        <x:v>حسب الاستراتيجية</x:v>
      </x:c>
      <x:c r="G26" s="6" t="str">
        <x:v>ملكية واستثمارات صناديق</x:v>
      </x:c>
      <x:c r="H26" s="6" t="str">
        <x:v>استثمار مباشر وغير مباشر</x:v>
      </x:c>
      <x:c r="I26" s="6" t="str">
        <x:v>info@mubadalacapital.ae</x:v>
      </x:c>
      <x:c r="J26" s="6" t="str">
        <x:v>+971 2 236 1000</x:v>
      </x:c>
      <x:c r="K26" s="6" t="str">
        <x:v>استفسارات عامة</x:v>
      </x:c>
      <x:c r="L26" s="14" t="e">
        <x:f>HYPERLINK("https://mubadalacapital.ae","mubadalacapital.ae")</x:f>
        <x:v>HYPERLINK is not implemented. linkLocation=https://mubadalacapital.ae, friendlyName=mubadalacapital.ae</x:v>
      </x:c>
      <x:c r="M26" s="14" t="e">
        <x:f>HYPERLINK("https://www.mubadalacapital.ae/","mubadalacapital.ae")</x:f>
        <x:v>HYPERLINK is not implemented. linkLocation=https://www.mubadalacapital.ae/, friendlyName=mubadalacapital.ae</x:v>
      </x:c>
      <x:c r="N26" s="6" t="str">
        <x:v>ملاءمة القطاع والمرحلة والنطاق الجغرافي؛ تأكيد مباشر</x:v>
      </x:c>
      <x:c r="O26" s="6" t="str">
        <x:v>غير مؤكد؛ راجع القناة المنشورة</x:v>
      </x:c>
      <x:c r="P26" s="13" t="str">
        <x:v>لم يتم التواصل</x:v>
      </x:c>
      <x:c r="Q26" s="6" t="str">
        <x:v>تأكيد جهة الاتصال والملاءمة ثم طلب متطلبات التقديم</x:v>
      </x:c>
      <x:c r="R26" s="6" t="str">
        <x:v>شركة إدارة أصول ضمن مجموعة مبادلة؛ ليست قناة مستقلة عن المجموعة من منظور العلاقات.</x:v>
      </x:c>
      <x:c r="S26" s="11" t="d">
        <x:v>2026-10-22T06:00:00.000Z</x:v>
      </x:c>
      <x:c r="T26" s="14" t="e">
        <x:f>HYPERLINK("https://www.mubadalacapital.ae/","mubadalacapital.ae")</x:f>
        <x:v>HYPERLINK is not implemented. linkLocation=https://www.mubadalacapital.ae/, friendlyName=mubadalacapital.ae</x:v>
      </x:c>
      <x:c r="U26" s="14" t="e">
        <x:f>HYPERLINK("https://www.decypha.com/en/investment/public/Mubadala-Capital-149029","decypha.com")</x:f>
        <x:v>HYPERLINK is not implemented. linkLocation=https://www.decypha.com/en/investment/public/Mubadala-Capital-149029, friendlyName=decypha.com</x:v>
      </x:c>
      <x:c r="V26" s="14" t="e">
        <x:f>HYPERLINK("https://www.mubadalacapital.ae/","mubadalacapital.ae")</x:f>
        <x:v>HYPERLINK is not implemented. linkLocation=https://www.mubadalacapital.ae/, friendlyName=mubadalacapital.ae</x:v>
      </x:c>
      <x:c r="W26" s="6" t="str">
        <x:v>مصدر ثانوي؛ يلزم تأكيد مباشر</x:v>
      </x:c>
      <x:c r="X26" s="6" t="str">
        <x:v>موقع الجهة أو قناة مرتبطة بها</x:v>
      </x:c>
    </x:row>
    <x:row r="27" ht="45" customHeight="1">
      <x:c r="A27" s="10" t="str">
        <x:v>F022</x:v>
      </x:c>
      <x:c r="B27" s="6" t="str">
        <x:v>Salica Investments</x:v>
      </x:c>
      <x:c r="C27" s="6" t="str">
        <x:v>رأس مال جريء</x:v>
      </x:c>
      <x:c r="D27" s="6" t="str">
        <x:v>مكتب / نشاط بالإمارات</x:v>
      </x:c>
      <x:c r="E27" s="6" t="str">
        <x:v>تقنية متعددة القطاعات</x:v>
      </x:c>
      <x:c r="F27" s="6" t="str">
        <x:v>مبكرة ونمو</x:v>
      </x:c>
      <x:c r="G27" s="6" t="str">
        <x:v>حقوق ملكية ودين نمو</x:v>
      </x:c>
      <x:c r="H27" s="6" t="str">
        <x:v>استثمار مباشر</x:v>
      </x:c>
      <x:c r="I27" s="6" t="str">
        <x:v>غير متاح في المصادر المراجعة</x:v>
      </x:c>
      <x:c r="J27" s="6" t="str">
        <x:v>غير متاح في المصادر المراجعة</x:v>
      </x:c>
      <x:c r="K27" s="6" t="str">
        <x:v>نموذج / موقع الجهة</x:v>
      </x:c>
      <x:c r="L27" s="14" t="e">
        <x:f>HYPERLINK("https://salicainvestments.com","salicainvestments.com")</x:f>
        <x:v>HYPERLINK is not implemented. linkLocation=https://salicainvestments.com, friendlyName=salicainvestments.com</x:v>
      </x:c>
      <x:c r="M27" s="14" t="e">
        <x:f>HYPERLINK("https://salicainvestments.com/contact/","salicainvestments.com")</x:f>
        <x:v>HYPERLINK is not implemented. linkLocation=https://salicainvestments.com/contact/, friendlyName=salicainvestments.com</x:v>
      </x:c>
      <x:c r="N27" s="6" t="str">
        <x:v>ملاءمة القطاع والمرحلة والنطاق الجغرافي؛ تأكيد مباشر</x:v>
      </x:c>
      <x:c r="O27" s="6" t="str">
        <x:v>غير مؤكد؛ راجع القناة المنشورة</x:v>
      </x:c>
      <x:c r="P27" s="13" t="str">
        <x:v>لم يتم التواصل</x:v>
      </x:c>
      <x:c r="Q27" s="6" t="str">
        <x:v>تأكيد جهة الاتصال والملاءمة ثم طلب متطلبات التقديم</x:v>
      </x:c>
      <x:c r="R27" s="6" t="str"/>
      <x:c r="S27" s="11" t="d">
        <x:v>2026-10-22T06:00:00.000Z</x:v>
      </x:c>
      <x:c r="T27" s="14" t="e">
        <x:f>HYPERLINK("https://salicainvestments.com/contact/","salicainvestments.com")</x:f>
        <x:v>HYPERLINK is not implemented. linkLocation=https://salicainvestments.com/contact/, friendlyName=salicainvestments.com</x:v>
      </x:c>
      <x:c r="U27" s="14" t="str">
        <x:v>غير متاح في المصادر المراجعة</x:v>
      </x:c>
      <x:c r="V27" s="14" t="str">
        <x:v>غير متاح في المصادر المراجعة</x:v>
      </x:c>
      <x:c r="W27" s="6" t="str">
        <x:v>غير متاح في المصادر المراجعة</x:v>
      </x:c>
      <x:c r="X27" s="6" t="str">
        <x:v>غير متاح في المصادر المراجعة</x:v>
      </x:c>
    </x:row>
    <x:row r="28" ht="45" customHeight="1">
      <x:c r="A28" s="10" t="str">
        <x:v>F023</x:v>
      </x:c>
      <x:c r="B28" s="6" t="str">
        <x:v>TVM Capital Healthcare</x:v>
      </x:c>
      <x:c r="C28" s="6" t="str">
        <x:v>رأس مال نمو</x:v>
      </x:c>
      <x:c r="D28" s="6" t="str">
        <x:v>دبي</x:v>
      </x:c>
      <x:c r="E28" s="6" t="str">
        <x:v>الرعاية الصحية</x:v>
      </x:c>
      <x:c r="F28" s="6" t="str">
        <x:v>نمو</x:v>
      </x:c>
      <x:c r="G28" s="6" t="str">
        <x:v>حقوق ملكية</x:v>
      </x:c>
      <x:c r="H28" s="6" t="str">
        <x:v>استثمار مباشر</x:v>
      </x:c>
      <x:c r="I28" s="6" t="str">
        <x:v>غير متاح في المصادر المراجعة</x:v>
      </x:c>
      <x:c r="J28" s="6" t="str">
        <x:v>+971 4 401 9568</x:v>
      </x:c>
      <x:c r="K28" s="6" t="str">
        <x:v>نموذج / موقع الجهة</x:v>
      </x:c>
      <x:c r="L28" s="14" t="e">
        <x:f>HYPERLINK("https://tvmcapitalhealthcare.com","tvmcapitalhealthcare.com")</x:f>
        <x:v>HYPERLINK is not implemented. linkLocation=https://tvmcapitalhealthcare.com, friendlyName=tvmcapitalhealthcare.com</x:v>
      </x:c>
      <x:c r="M28" s="14" t="e">
        <x:f>HYPERLINK("https://tvmcapitalhealthcare.com/contact/","tvmcapitalhealthcare.com")</x:f>
        <x:v>HYPERLINK is not implemented. linkLocation=https://tvmcapitalhealthcare.com/contact/, friendlyName=tvmcapitalhealthcare.com</x:v>
      </x:c>
      <x:c r="N28" s="6" t="str">
        <x:v>ملاءمة القطاع والمرحلة والنطاق الجغرافي؛ تأكيد مباشر</x:v>
      </x:c>
      <x:c r="O28" s="6" t="str">
        <x:v>غير مؤكد؛ راجع القناة المنشورة</x:v>
      </x:c>
      <x:c r="P28" s="13" t="str">
        <x:v>لم يتم التواصل</x:v>
      </x:c>
      <x:c r="Q28" s="6" t="str">
        <x:v>تأكيد جهة الاتصال والملاءمة ثم طلب متطلبات التقديم</x:v>
      </x:c>
      <x:c r="R28" s="6" t="str"/>
      <x:c r="S28" s="11" t="d">
        <x:v>2026-10-22T06:00:00.000Z</x:v>
      </x:c>
      <x:c r="T28" s="14" t="e">
        <x:f>HYPERLINK("https://tvmcapitalhealthcare.com/contact/","tvmcapitalhealthcare.com")</x:f>
        <x:v>HYPERLINK is not implemented. linkLocation=https://tvmcapitalhealthcare.com/contact/, friendlyName=tvmcapitalhealthcare.com</x:v>
      </x:c>
      <x:c r="U28" s="14" t="str">
        <x:v>غير متاح في المصادر المراجعة</x:v>
      </x:c>
      <x:c r="V28" s="14" t="e">
        <x:f>HYPERLINK("https://tvmcapitalhealthcare.com/contact/","tvmcapitalhealthcare.com")</x:f>
        <x:v>HYPERLINK is not implemented. linkLocation=https://tvmcapitalhealthcare.com/contact/, friendlyName=tvmcapitalhealthcare.com</x:v>
      </x:c>
      <x:c r="W28" s="6" t="str">
        <x:v>غير متاح في المصادر المراجعة</x:v>
      </x:c>
      <x:c r="X28" s="6" t="str">
        <x:v>موقع الجهة أو قناة مرتبطة بها</x:v>
      </x:c>
    </x:row>
    <x:row r="29" ht="45" customHeight="1">
      <x:c r="A29" s="10" t="str">
        <x:v>F024</x:v>
      </x:c>
      <x:c r="B29" s="6" t="str">
        <x:v>Annex Investments</x:v>
      </x:c>
      <x:c r="C29" s="6" t="str">
        <x:v>رأس مال جريء</x:v>
      </x:c>
      <x:c r="D29" s="6" t="str">
        <x:v>أبوظبي</x:v>
      </x:c>
      <x:c r="E29" s="6" t="str">
        <x:v>تقنية متعددة القطاعات</x:v>
      </x:c>
      <x:c r="F29" s="6" t="str">
        <x:v>مراحل مبكرة</x:v>
      </x:c>
      <x:c r="G29" s="6" t="str">
        <x:v>حقوق ملكية</x:v>
      </x:c>
      <x:c r="H29" s="6" t="str">
        <x:v>استثمار مباشر</x:v>
      </x:c>
      <x:c r="I29" s="6" t="str">
        <x:v>info@annexinvestments.com</x:v>
      </x:c>
      <x:c r="J29" s="6" t="str">
        <x:v>غير متاح في المصادر المراجعة</x:v>
      </x:c>
      <x:c r="K29" s="6" t="str">
        <x:v>استفسارات عامة</x:v>
      </x:c>
      <x:c r="L29" s="14" t="e">
        <x:f>HYPERLINK("https://annexinvestments.com","annexinvestments.com")</x:f>
        <x:v>HYPERLINK is not implemented. linkLocation=https://annexinvestments.com, friendlyName=annexinvestments.com</x:v>
      </x:c>
      <x:c r="M29" s="14" t="e">
        <x:f>HYPERLINK("https://annexinvestments.com/","annexinvestments.com")</x:f>
        <x:v>HYPERLINK is not implemented. linkLocation=https://annexinvestments.com/, friendlyName=annexinvestments.com</x:v>
      </x:c>
      <x:c r="N29" s="6" t="str">
        <x:v>ملاءمة القطاع والمرحلة والنطاق الجغرافي؛ تأكيد مباشر</x:v>
      </x:c>
      <x:c r="O29" s="6" t="str">
        <x:v>غير مؤكد؛ راجع القناة المنشورة</x:v>
      </x:c>
      <x:c r="P29" s="13" t="str">
        <x:v>لم يتم التواصل</x:v>
      </x:c>
      <x:c r="Q29" s="6" t="str">
        <x:v>تأكيد جهة الاتصال والملاءمة ثم طلب متطلبات التقديم</x:v>
      </x:c>
      <x:c r="R29" s="6" t="str"/>
      <x:c r="S29" s="11" t="d">
        <x:v>2026-10-22T06:00:00.000Z</x:v>
      </x:c>
      <x:c r="T29" s="14" t="e">
        <x:f>HYPERLINK("https://annexinvestments.com/","annexinvestments.com")</x:f>
        <x:v>HYPERLINK is not implemented. linkLocation=https://annexinvestments.com/, friendlyName=annexinvestments.com</x:v>
      </x:c>
      <x:c r="U29" s="14" t="e">
        <x:f>HYPERLINK("https://annexinvestments.com/","annexinvestments.com")</x:f>
        <x:v>HYPERLINK is not implemented. linkLocation=https://annexinvestments.com/, friendlyName=annexinvestments.com</x:v>
      </x:c>
      <x:c r="V29" s="14" t="str">
        <x:v>غير متاح في المصادر المراجعة</x:v>
      </x:c>
      <x:c r="W29" s="6" t="str">
        <x:v>موقع الجهة أو قناة مرتبطة بها</x:v>
      </x:c>
      <x:c r="X29" s="6" t="str">
        <x:v>غير متاح في المصادر المراجعة</x:v>
      </x:c>
    </x:row>
    <x:row r="30" ht="45" customHeight="1">
      <x:c r="A30" s="10" t="str">
        <x:v>F025</x:v>
      </x:c>
      <x:c r="B30" s="6" t="str">
        <x:v>BYLD Ventures</x:v>
      </x:c>
      <x:c r="C30" s="6" t="str">
        <x:v>رأس مال جريء</x:v>
      </x:c>
      <x:c r="D30" s="6" t="str">
        <x:v>دبي</x:v>
      </x:c>
      <x:c r="E30" s="6" t="str">
        <x:v>تقنية متعددة القطاعات</x:v>
      </x:c>
      <x:c r="F30" s="6" t="str">
        <x:v>مراحل مبكرة</x:v>
      </x:c>
      <x:c r="G30" s="6" t="str">
        <x:v>حقوق ملكية</x:v>
      </x:c>
      <x:c r="H30" s="6" t="str">
        <x:v>استثمار مباشر</x:v>
      </x:c>
      <x:c r="I30" s="6" t="str">
        <x:v>info@byld.vc</x:v>
      </x:c>
      <x:c r="J30" s="6" t="str">
        <x:v>غير متاح في المصادر المراجعة</x:v>
      </x:c>
      <x:c r="K30" s="6" t="str">
        <x:v>استفسارات عامة</x:v>
      </x:c>
      <x:c r="L30" s="14" t="e">
        <x:f>HYPERLINK("https://byld.vc","byld.vc")</x:f>
        <x:v>HYPERLINK is not implemented. linkLocation=https://byld.vc, friendlyName=byld.vc</x:v>
      </x:c>
      <x:c r="M30" s="14" t="e">
        <x:f>HYPERLINK("https://www.byld.vc/","byld.vc")</x:f>
        <x:v>HYPERLINK is not implemented. linkLocation=https://www.byld.vc/, friendlyName=byld.vc</x:v>
      </x:c>
      <x:c r="N30" s="6" t="str">
        <x:v>ملاءمة القطاع والمرحلة والنطاق الجغرافي؛ تأكيد مباشر</x:v>
      </x:c>
      <x:c r="O30" s="6" t="str">
        <x:v>غير مؤكد؛ راجع القناة المنشورة</x:v>
      </x:c>
      <x:c r="P30" s="13" t="str">
        <x:v>لم يتم التواصل</x:v>
      </x:c>
      <x:c r="Q30" s="6" t="str">
        <x:v>تأكيد جهة الاتصال والملاءمة ثم طلب متطلبات التقديم</x:v>
      </x:c>
      <x:c r="R30" s="6" t="str"/>
      <x:c r="S30" s="11" t="d">
        <x:v>2026-10-22T06:00:00.000Z</x:v>
      </x:c>
      <x:c r="T30" s="14" t="e">
        <x:f>HYPERLINK("https://www.byld.vc/","byld.vc")</x:f>
        <x:v>HYPERLINK is not implemented. linkLocation=https://www.byld.vc/, friendlyName=byld.vc</x:v>
      </x:c>
      <x:c r="U30" s="14" t="e">
        <x:f>HYPERLINK("https://www.byld.vc/privacy","byld.vc")</x:f>
        <x:v>HYPERLINK is not implemented. linkLocation=https://www.byld.vc/privacy, friendlyName=byld.vc</x:v>
      </x:c>
      <x:c r="V30" s="14" t="str">
        <x:v>غير متاح في المصادر المراجعة</x:v>
      </x:c>
      <x:c r="W30" s="6" t="str">
        <x:v>موقع الجهة أو قناة مرتبطة بها</x:v>
      </x:c>
      <x:c r="X30" s="6" t="str">
        <x:v>غير متاح في المصادر المراجعة</x:v>
      </x:c>
    </x:row>
    <x:row r="31" ht="45" customHeight="1">
      <x:c r="A31" s="10" t="str">
        <x:v>F026</x:v>
      </x:c>
      <x:c r="B31" s="6" t="str">
        <x:v>Leo Capital</x:v>
      </x:c>
      <x:c r="C31" s="6" t="str">
        <x:v>رأس مال جريء</x:v>
      </x:c>
      <x:c r="D31" s="6" t="str">
        <x:v>دبي</x:v>
      </x:c>
      <x:c r="E31" s="6" t="str">
        <x:v>تقنية متعددة القطاعات</x:v>
      </x:c>
      <x:c r="F31" s="6" t="str">
        <x:v>مراحل مبكرة</x:v>
      </x:c>
      <x:c r="G31" s="6" t="str">
        <x:v>حقوق ملكية</x:v>
      </x:c>
      <x:c r="H31" s="6" t="str">
        <x:v>استثمار مباشر</x:v>
      </x:c>
      <x:c r="I31" s="6" t="str">
        <x:v>غير متاح في المصادر المراجعة</x:v>
      </x:c>
      <x:c r="J31" s="6" t="str">
        <x:v>غير متاح في المصادر المراجعة</x:v>
      </x:c>
      <x:c r="K31" s="6" t="str">
        <x:v>نموذج / موقع الجهة</x:v>
      </x:c>
      <x:c r="L31" s="14" t="e">
        <x:f>HYPERLINK("https://leo.capital","leo.capital")</x:f>
        <x:v>HYPERLINK is not implemented. linkLocation=https://leo.capital, friendlyName=leo.capital</x:v>
      </x:c>
      <x:c r="M31" s="14" t="e">
        <x:f>HYPERLINK("https://leo.capital/","leo.capital")</x:f>
        <x:v>HYPERLINK is not implemented. linkLocation=https://leo.capital/, friendlyName=leo.capital</x:v>
      </x:c>
      <x:c r="N31" s="6" t="str">
        <x:v>ملاءمة القطاع والمرحلة والنطاق الجغرافي؛ تأكيد مباشر</x:v>
      </x:c>
      <x:c r="O31" s="6" t="str">
        <x:v>غير مؤكد؛ راجع القناة المنشورة</x:v>
      </x:c>
      <x:c r="P31" s="13" t="str">
        <x:v>لم يتم التواصل</x:v>
      </x:c>
      <x:c r="Q31" s="6" t="str">
        <x:v>تأكيد جهة الاتصال والملاءمة ثم طلب متطلبات التقديم</x:v>
      </x:c>
      <x:c r="R31" s="6" t="str">
        <x:v>المقصود صندوق leo.capital؛ لم أستخدم بريد leo-capital.com لعدم ثبوت وحدة الجهة.</x:v>
      </x:c>
      <x:c r="S31" s="11" t="d">
        <x:v>2026-10-22T06:00:00.000Z</x:v>
      </x:c>
      <x:c r="T31" s="14" t="e">
        <x:f>HYPERLINK("https://leo.capital/","leo.capital")</x:f>
        <x:v>HYPERLINK is not implemented. linkLocation=https://leo.capital/, friendlyName=leo.capital</x:v>
      </x:c>
      <x:c r="U31" s="14" t="str">
        <x:v>غير متاح في المصادر المراجعة</x:v>
      </x:c>
      <x:c r="V31" s="14" t="str">
        <x:v>غير متاح في المصادر المراجعة</x:v>
      </x:c>
      <x:c r="W31" s="6" t="str">
        <x:v>غير متاح في المصادر المراجعة</x:v>
      </x:c>
      <x:c r="X31" s="6" t="str">
        <x:v>غير متاح في المصادر المراجعة</x:v>
      </x:c>
    </x:row>
    <x:row r="32" ht="45" customHeight="1">
      <x:c r="A32" s="10" t="str">
        <x:v>F027</x:v>
      </x:c>
      <x:c r="B32" s="6" t="str">
        <x:v>Partech</x:v>
      </x:c>
      <x:c r="C32" s="6" t="str">
        <x:v>رأس مال جريء</x:v>
      </x:c>
      <x:c r="D32" s="6" t="str">
        <x:v>مكتب بدبي حسب ملف الجهة</x:v>
      </x:c>
      <x:c r="E32" s="6" t="str">
        <x:v>تقنية متعددة القطاعات</x:v>
      </x:c>
      <x:c r="F32" s="6" t="str">
        <x:v>مبكرة ونمو</x:v>
      </x:c>
      <x:c r="G32" s="6" t="str">
        <x:v>حقوق ملكية</x:v>
      </x:c>
      <x:c r="H32" s="6" t="str">
        <x:v>استثمار مباشر</x:v>
      </x:c>
      <x:c r="I32" s="6" t="str">
        <x:v>غير متاح في المصادر المراجعة</x:v>
      </x:c>
      <x:c r="J32" s="6" t="str">
        <x:v>غير متاح في المصادر المراجعة</x:v>
      </x:c>
      <x:c r="K32" s="6" t="str">
        <x:v>نموذج / موقع الجهة</x:v>
      </x:c>
      <x:c r="L32" s="14" t="e">
        <x:f>HYPERLINK("https://partechpartners.com","partechpartners.com")</x:f>
        <x:v>HYPERLINK is not implemented. linkLocation=https://partechpartners.com, friendlyName=partechpartners.com</x:v>
      </x:c>
      <x:c r="M32" s="14" t="e">
        <x:f>HYPERLINK("https://partechpartners.com/contact","partechpartners.com")</x:f>
        <x:v>HYPERLINK is not implemented. linkLocation=https://partechpartners.com/contact, friendlyName=partechpartners.com</x:v>
      </x:c>
      <x:c r="N32" s="6" t="str">
        <x:v>ملاءمة القطاع والمرحلة والنطاق الجغرافي؛ تأكيد مباشر</x:v>
      </x:c>
      <x:c r="O32" s="6" t="str">
        <x:v>غير مؤكد؛ راجع القناة المنشورة</x:v>
      </x:c>
      <x:c r="P32" s="13" t="str">
        <x:v>لم يتم التواصل</x:v>
      </x:c>
      <x:c r="Q32" s="6" t="str">
        <x:v>تأكيد جهة الاتصال والملاءمة ثم طلب متطلبات التقديم</x:v>
      </x:c>
      <x:c r="R32" s="6" t="str">
        <x:v>المقصود partechpartners.com؛ استبعدت شركة تقنية معلومات تحمل اسماً مشابهاً.</x:v>
      </x:c>
      <x:c r="S32" s="11" t="d">
        <x:v>2026-10-22T06:00:00.000Z</x:v>
      </x:c>
      <x:c r="T32" s="14" t="e">
        <x:f>HYPERLINK("https://partechpartners.com/","partechpartners.com")</x:f>
        <x:v>HYPERLINK is not implemented. linkLocation=https://partechpartners.com/, friendlyName=partechpartners.com</x:v>
      </x:c>
      <x:c r="U32" s="14" t="str">
        <x:v>غير متاح في المصادر المراجعة</x:v>
      </x:c>
      <x:c r="V32" s="14" t="str">
        <x:v>غير متاح في المصادر المراجعة</x:v>
      </x:c>
      <x:c r="W32" s="6" t="str">
        <x:v>غير متاح في المصادر المراجعة</x:v>
      </x:c>
      <x:c r="X32" s="6" t="str">
        <x:v>غير متاح في المصادر المراجعة</x:v>
      </x:c>
    </x:row>
    <x:row r="33" ht="45" customHeight="1">
      <x:c r="A33" s="10" t="str">
        <x:v>F028</x:v>
      </x:c>
      <x:c r="B33" s="6" t="str">
        <x:v>White Star Capital</x:v>
      </x:c>
      <x:c r="C33" s="6" t="str">
        <x:v>رأس مال جريء</x:v>
      </x:c>
      <x:c r="D33" s="6" t="str">
        <x:v>أبوظبي</x:v>
      </x:c>
      <x:c r="E33" s="6" t="str">
        <x:v>تقنية متعددة القطاعات</x:v>
      </x:c>
      <x:c r="F33" s="6" t="str">
        <x:v>نمو</x:v>
      </x:c>
      <x:c r="G33" s="6" t="str">
        <x:v>حقوق ملكية</x:v>
      </x:c>
      <x:c r="H33" s="6" t="str">
        <x:v>استثمار مباشر</x:v>
      </x:c>
      <x:c r="I33" s="6" t="str">
        <x:v>info@whitestarcapital.com</x:v>
      </x:c>
      <x:c r="J33" s="6" t="str">
        <x:v>غير متاح في المصادر المراجعة</x:v>
      </x:c>
      <x:c r="K33" s="6" t="str">
        <x:v>استفسارات عامة</x:v>
      </x:c>
      <x:c r="L33" s="14" t="e">
        <x:f>HYPERLINK("https://whitestarcapital.com","whitestarcapital.com")</x:f>
        <x:v>HYPERLINK is not implemented. linkLocation=https://whitestarcapital.com, friendlyName=whitestarcapital.com</x:v>
      </x:c>
      <x:c r="M33" s="14" t="e">
        <x:f>HYPERLINK("https://whitestarcapital.com/team/","whitestarcapital.com")</x:f>
        <x:v>HYPERLINK is not implemented. linkLocation=https://whitestarcapital.com/team/, friendlyName=whitestarcapital.com</x:v>
      </x:c>
      <x:c r="N33" s="6" t="str">
        <x:v>ملاءمة القطاع والمرحلة والنطاق الجغرافي؛ تأكيد مباشر</x:v>
      </x:c>
      <x:c r="O33" s="6" t="str">
        <x:v>غير مؤكد؛ راجع القناة المنشورة</x:v>
      </x:c>
      <x:c r="P33" s="13" t="str">
        <x:v>لم يتم التواصل</x:v>
      </x:c>
      <x:c r="Q33" s="6" t="str">
        <x:v>تأكيد جهة الاتصال والملاءمة ثم طلب متطلبات التقديم</x:v>
      </x:c>
      <x:c r="R33" s="6" t="str"/>
      <x:c r="S33" s="11" t="d">
        <x:v>2026-10-22T06:00:00.000Z</x:v>
      </x:c>
      <x:c r="T33" s="14" t="e">
        <x:f>HYPERLINK("https://whitestarcapital.com/team/","whitestarcapital.com")</x:f>
        <x:v>HYPERLINK is not implemented. linkLocation=https://whitestarcapital.com/team/, friendlyName=whitestarcapital.com</x:v>
      </x:c>
      <x:c r="U33" s="14" t="e">
        <x:f>HYPERLINK("https://www.crunchbase.com/organization/white-star-capital","crunchbase.com")</x:f>
        <x:v>HYPERLINK is not implemented. linkLocation=https://www.crunchbase.com/organization/white-star-capital, friendlyName=crunchbase.com</x:v>
      </x:c>
      <x:c r="V33" s="14" t="str">
        <x:v>غير متاح في المصادر المراجعة</x:v>
      </x:c>
      <x:c r="W33" s="6" t="str">
        <x:v>مصدر ثانوي؛ يلزم تأكيد مباشر</x:v>
      </x:c>
      <x:c r="X33" s="6" t="str">
        <x:v>غير متاح في المصادر المراجعة</x:v>
      </x:c>
    </x:row>
    <x:row r="34" ht="45" customHeight="1">
      <x:c r="A34" s="10" t="str">
        <x:v>F029</x:v>
      </x:c>
      <x:c r="B34" s="6" t="str">
        <x:v>Raiven Capital</x:v>
      </x:c>
      <x:c r="C34" s="6" t="str">
        <x:v>رأس مال جريء</x:v>
      </x:c>
      <x:c r="D34" s="6" t="str">
        <x:v>دبي</x:v>
      </x:c>
      <x:c r="E34" s="6" t="str">
        <x:v>ذكاء اصطناعي وتقنيات ناشئة</x:v>
      </x:c>
      <x:c r="F34" s="6" t="str">
        <x:v>مراحل مبكرة</x:v>
      </x:c>
      <x:c r="G34" s="6" t="str">
        <x:v>حقوق ملكية</x:v>
      </x:c>
      <x:c r="H34" s="6" t="str">
        <x:v>استثمار مباشر</x:v>
      </x:c>
      <x:c r="I34" s="6" t="str">
        <x:v>غير متاح في المصادر المراجعة</x:v>
      </x:c>
      <x:c r="J34" s="6" t="str">
        <x:v>غير متاح في المصادر المراجعة</x:v>
      </x:c>
      <x:c r="K34" s="6" t="str">
        <x:v>نموذج / موقع الجهة</x:v>
      </x:c>
      <x:c r="L34" s="14" t="e">
        <x:f>HYPERLINK("https://raivencapital.com","raivencapital.com")</x:f>
        <x:v>HYPERLINK is not implemented. linkLocation=https://raivencapital.com, friendlyName=raivencapital.com</x:v>
      </x:c>
      <x:c r="M34" s="14" t="e">
        <x:f>HYPERLINK("https://raivencapital.com/","raivencapital.com")</x:f>
        <x:v>HYPERLINK is not implemented. linkLocation=https://raivencapital.com/, friendlyName=raivencapital.com</x:v>
      </x:c>
      <x:c r="N34" s="6" t="str">
        <x:v>ملاءمة القطاع والمرحلة والنطاق الجغرافي؛ تأكيد مباشر</x:v>
      </x:c>
      <x:c r="O34" s="6" t="str">
        <x:v>غير مؤكد؛ راجع القناة المنشورة</x:v>
      </x:c>
      <x:c r="P34" s="13" t="str">
        <x:v>لم يتم التواصل</x:v>
      </x:c>
      <x:c r="Q34" s="6" t="str">
        <x:v>تأكيد جهة الاتصال والملاءمة ثم طلب متطلبات التقديم</x:v>
      </x:c>
      <x:c r="R34" s="6" t="str"/>
      <x:c r="S34" s="11" t="d">
        <x:v>2026-10-22T06:00:00.000Z</x:v>
      </x:c>
      <x:c r="T34" s="14" t="e">
        <x:f>HYPERLINK("https://raivencapital.com/","raivencapital.com")</x:f>
        <x:v>HYPERLINK is not implemented. linkLocation=https://raivencapital.com/, friendlyName=raivencapital.com</x:v>
      </x:c>
      <x:c r="U34" s="14" t="str">
        <x:v>غير متاح في المصادر المراجعة</x:v>
      </x:c>
      <x:c r="V34" s="14" t="str">
        <x:v>غير متاح في المصادر المراجعة</x:v>
      </x:c>
      <x:c r="W34" s="6" t="str">
        <x:v>غير متاح في المصادر المراجعة</x:v>
      </x:c>
      <x:c r="X34" s="6" t="str">
        <x:v>غير متاح في المصادر المراجعة</x:v>
      </x:c>
    </x:row>
    <x:row r="35" ht="45" customHeight="1">
      <x:c r="A35" s="10" t="str">
        <x:v>F030</x:v>
      </x:c>
      <x:c r="B35" s="6" t="str">
        <x:v>Klumi Ventures</x:v>
      </x:c>
      <x:c r="C35" s="6" t="str">
        <x:v>رأس مال جريء</x:v>
      </x:c>
      <x:c r="D35" s="6" t="str">
        <x:v>أبوظبي</x:v>
      </x:c>
      <x:c r="E35" s="6" t="str">
        <x:v>الأصول الرقمية وWeb3</x:v>
      </x:c>
      <x:c r="F35" s="6" t="str">
        <x:v>مراحل مبكرة</x:v>
      </x:c>
      <x:c r="G35" s="6" t="str">
        <x:v>حقوق ملكية / أصول رقمية بحسب الصندوق</x:v>
      </x:c>
      <x:c r="H35" s="6" t="str">
        <x:v>استثمار مباشر</x:v>
      </x:c>
      <x:c r="I35" s="6" t="str">
        <x:v>team@klumiventures.com</x:v>
      </x:c>
      <x:c r="J35" s="6" t="str">
        <x:v>غير متاح في المصادر المراجعة</x:v>
      </x:c>
      <x:c r="K35" s="6" t="str">
        <x:v>استفسارات عامة</x:v>
      </x:c>
      <x:c r="L35" s="14" t="e">
        <x:f>HYPERLINK("https://klumiventures.com","klumiventures.com")</x:f>
        <x:v>HYPERLINK is not implemented. linkLocation=https://klumiventures.com, friendlyName=klumiventures.com</x:v>
      </x:c>
      <x:c r="M35" s="14" t="e">
        <x:f>HYPERLINK("https://www.klumiventures.com/contact","klumiventures.com")</x:f>
        <x:v>HYPERLINK is not implemented. linkLocation=https://www.klumiventures.com/contact, friendlyName=klumiventures.com</x:v>
      </x:c>
      <x:c r="N35" s="6" t="str">
        <x:v>ملاءمة القطاع والمرحلة والنطاق الجغرافي؛ تأكيد مباشر</x:v>
      </x:c>
      <x:c r="O35" s="6" t="str">
        <x:v>غير مؤكد؛ راجع القناة المنشورة</x:v>
      </x:c>
      <x:c r="P35" s="13" t="str">
        <x:v>لم يتم التواصل</x:v>
      </x:c>
      <x:c r="Q35" s="6" t="str">
        <x:v>تأكيد جهة الاتصال والملاءمة ثم طلب متطلبات التقديم</x:v>
      </x:c>
      <x:c r="R35" s="6" t="str"/>
      <x:c r="S35" s="11" t="d">
        <x:v>2026-10-22T06:00:00.000Z</x:v>
      </x:c>
      <x:c r="T35" s="14" t="e">
        <x:f>HYPERLINK("https://www.klumiventures.com/contact","klumiventures.com")</x:f>
        <x:v>HYPERLINK is not implemented. linkLocation=https://www.klumiventures.com/contact, friendlyName=klumiventures.com</x:v>
      </x:c>
      <x:c r="U35" s="14" t="e">
        <x:f>HYPERLINK("https://www.klumiventures.com/contact","klumiventures.com")</x:f>
        <x:v>HYPERLINK is not implemented. linkLocation=https://www.klumiventures.com/contact, friendlyName=klumiventures.com</x:v>
      </x:c>
      <x:c r="V35" s="14" t="str">
        <x:v>غير متاح في المصادر المراجعة</x:v>
      </x:c>
      <x:c r="W35" s="6" t="str">
        <x:v>موقع الجهة أو قناة مرتبطة بها</x:v>
      </x:c>
      <x:c r="X35" s="6" t="str">
        <x:v>غير متاح في المصادر المراجعة</x:v>
      </x:c>
    </x:row>
    <x:row r="36" ht="45" customHeight="1">
      <x:c r="A36" s="10" t="str">
        <x:v>F031</x:v>
      </x:c>
      <x:c r="B36" s="6" t="str">
        <x:v>Hashgraph Ventures</x:v>
      </x:c>
      <x:c r="C36" s="6" t="str">
        <x:v>رأس مال جريء</x:v>
      </x:c>
      <x:c r="D36" s="6" t="str">
        <x:v>أبوظبي</x:v>
      </x:c>
      <x:c r="E36" s="6" t="str">
        <x:v>ذكاء اصطناعي وبلوكتشين</x:v>
      </x:c>
      <x:c r="F36" s="6" t="str">
        <x:v>مراحل مبكرة</x:v>
      </x:c>
      <x:c r="G36" s="6" t="str">
        <x:v>حقوق ملكية</x:v>
      </x:c>
      <x:c r="H36" s="6" t="str">
        <x:v>استثمار مباشر</x:v>
      </x:c>
      <x:c r="I36" s="6" t="str">
        <x:v>info@hashgraphvc.com</x:v>
      </x:c>
      <x:c r="J36" s="6" t="str">
        <x:v>غير متاح في المصادر المراجعة</x:v>
      </x:c>
      <x:c r="K36" s="6" t="str">
        <x:v>استفسارات عامة</x:v>
      </x:c>
      <x:c r="L36" s="14" t="e">
        <x:f>HYPERLINK("https://hashgraphvc.com","hashgraphvc.com")</x:f>
        <x:v>HYPERLINK is not implemented. linkLocation=https://hashgraphvc.com, friendlyName=hashgraphvc.com</x:v>
      </x:c>
      <x:c r="M36" s="14" t="e">
        <x:f>HYPERLINK("https://hashgraphvc.com/","hashgraphvc.com")</x:f>
        <x:v>HYPERLINK is not implemented. linkLocation=https://hashgraphvc.com/, friendlyName=hashgraphvc.com</x:v>
      </x:c>
      <x:c r="N36" s="6" t="str">
        <x:v>ملاءمة القطاع والمرحلة والنطاق الجغرافي؛ تأكيد مباشر</x:v>
      </x:c>
      <x:c r="O36" s="6" t="str">
        <x:v>غير مؤكد؛ راجع القناة المنشورة</x:v>
      </x:c>
      <x:c r="P36" s="13" t="str">
        <x:v>لم يتم التواصل</x:v>
      </x:c>
      <x:c r="Q36" s="6" t="str">
        <x:v>تأكيد جهة الاتصال والملاءمة ثم طلب متطلبات التقديم</x:v>
      </x:c>
      <x:c r="R36" s="6" t="str"/>
      <x:c r="S36" s="11" t="d">
        <x:v>2026-10-22T06:00:00.000Z</x:v>
      </x:c>
      <x:c r="T36" s="14" t="e">
        <x:f>HYPERLINK("https://hashgraphvc.com/","hashgraphvc.com")</x:f>
        <x:v>HYPERLINK is not implemented. linkLocation=https://hashgraphvc.com/, friendlyName=hashgraphvc.com</x:v>
      </x:c>
      <x:c r="U36" s="14" t="e">
        <x:f>HYPERLINK("https://hashgraphvc.com/privacy-policy/","hashgraphvc.com")</x:f>
        <x:v>HYPERLINK is not implemented. linkLocation=https://hashgraphvc.com/privacy-policy/, friendlyName=hashgraphvc.com</x:v>
      </x:c>
      <x:c r="V36" s="14" t="str">
        <x:v>غير متاح في المصادر المراجعة</x:v>
      </x:c>
      <x:c r="W36" s="6" t="str">
        <x:v>موقع الجهة أو قناة مرتبطة بها</x:v>
      </x:c>
      <x:c r="X36" s="6" t="str">
        <x:v>غير متاح في المصادر المراجعة</x:v>
      </x:c>
    </x:row>
    <x:row r="37" ht="45" customHeight="1">
      <x:c r="A37" s="10" t="str">
        <x:v>F032</x:v>
      </x:c>
      <x:c r="B37" s="6" t="str">
        <x:v>Homegrown Ventures</x:v>
      </x:c>
      <x:c r="C37" s="6" t="str">
        <x:v>رأس مال جريء</x:v>
      </x:c>
      <x:c r="D37" s="6" t="str">
        <x:v>دبي</x:v>
      </x:c>
      <x:c r="E37" s="6" t="str">
        <x:v>سلع استهلاكية</x:v>
      </x:c>
      <x:c r="F37" s="6" t="str">
        <x:v>حسب الاستراتيجية</x:v>
      </x:c>
      <x:c r="G37" s="6" t="str">
        <x:v>حقوق ملكية</x:v>
      </x:c>
      <x:c r="H37" s="6" t="str">
        <x:v>استثمار مباشر</x:v>
      </x:c>
      <x:c r="I37" s="6" t="str">
        <x:v>info@homegrowncpg.com</x:v>
      </x:c>
      <x:c r="J37" s="6" t="str">
        <x:v>غير متاح في المصادر المراجعة</x:v>
      </x:c>
      <x:c r="K37" s="6" t="str">
        <x:v>استفسارات عامة</x:v>
      </x:c>
      <x:c r="L37" s="14" t="e">
        <x:f>HYPERLINK("https://homegrowncpg.com","homegrowncpg.com")</x:f>
        <x:v>HYPERLINK is not implemented. linkLocation=https://homegrowncpg.com, friendlyName=homegrowncpg.com</x:v>
      </x:c>
      <x:c r="M37" s="14" t="e">
        <x:f>HYPERLINK("https://www.homegrowncpg.com/","homegrowncpg.com")</x:f>
        <x:v>HYPERLINK is not implemented. linkLocation=https://www.homegrowncpg.com/, friendlyName=homegrowncpg.com</x:v>
      </x:c>
      <x:c r="N37" s="6" t="str">
        <x:v>ملاءمة القطاع والمرحلة والنطاق الجغرافي؛ تأكيد مباشر</x:v>
      </x:c>
      <x:c r="O37" s="6" t="str">
        <x:v>غير مؤكد؛ راجع القناة المنشورة</x:v>
      </x:c>
      <x:c r="P37" s="13" t="str">
        <x:v>لم يتم التواصل</x:v>
      </x:c>
      <x:c r="Q37" s="6" t="str">
        <x:v>تأكيد جهة الاتصال والملاءمة ثم طلب متطلبات التقديم</x:v>
      </x:c>
      <x:c r="R37" s="6" t="str"/>
      <x:c r="S37" s="11" t="d">
        <x:v>2026-10-22T06:00:00.000Z</x:v>
      </x:c>
      <x:c r="T37" s="14" t="e">
        <x:f>HYPERLINK("https://www.homegrowncpg.com/","homegrowncpg.com")</x:f>
        <x:v>HYPERLINK is not implemented. linkLocation=https://www.homegrowncpg.com/, friendlyName=homegrowncpg.com</x:v>
      </x:c>
      <x:c r="U37" s="14" t="e">
        <x:f>HYPERLINK("https://www.homegrowncpg.com/","homegrowncpg.com")</x:f>
        <x:v>HYPERLINK is not implemented. linkLocation=https://www.homegrowncpg.com/, friendlyName=homegrowncpg.com</x:v>
      </x:c>
      <x:c r="V37" s="14" t="str">
        <x:v>غير متاح في المصادر المراجعة</x:v>
      </x:c>
      <x:c r="W37" s="6" t="str">
        <x:v>موقع الجهة أو قناة مرتبطة بها</x:v>
      </x:c>
      <x:c r="X37" s="6" t="str">
        <x:v>غير متاح في المصادر المراجعة</x:v>
      </x:c>
    </x:row>
    <x:row r="38" ht="45" customHeight="1">
      <x:c r="A38" s="10" t="str">
        <x:v>F033</x:v>
      </x:c>
      <x:c r="B38" s="6" t="str">
        <x:v>Fikr Ventures</x:v>
      </x:c>
      <x:c r="C38" s="6" t="str">
        <x:v>رأس مال جريء</x:v>
      </x:c>
      <x:c r="D38" s="6" t="str">
        <x:v>أبوظبي</x:v>
      </x:c>
      <x:c r="E38" s="6" t="str">
        <x:v>التقنية التعليمية</x:v>
      </x:c>
      <x:c r="F38" s="6" t="str">
        <x:v>Seed</x:v>
      </x:c>
      <x:c r="G38" s="6" t="str">
        <x:v>حقوق ملكية</x:v>
      </x:c>
      <x:c r="H38" s="6" t="str">
        <x:v>استثمار مباشر</x:v>
      </x:c>
      <x:c r="I38" s="6" t="str">
        <x:v>غير متاح في المصادر المراجعة</x:v>
      </x:c>
      <x:c r="J38" s="6" t="str">
        <x:v>غير متاح في المصادر المراجعة</x:v>
      </x:c>
      <x:c r="K38" s="6" t="str">
        <x:v>نموذج / موقع الجهة</x:v>
      </x:c>
      <x:c r="L38" s="14" t="e">
        <x:f>HYPERLINK("https://fikr.vc","fikr.vc")</x:f>
        <x:v>HYPERLINK is not implemented. linkLocation=https://fikr.vc, friendlyName=fikr.vc</x:v>
      </x:c>
      <x:c r="M38" s="14" t="e">
        <x:f>HYPERLINK("https://www.fikr.vc/","fikr.vc")</x:f>
        <x:v>HYPERLINK is not implemented. linkLocation=https://www.fikr.vc/, friendlyName=fikr.vc</x:v>
      </x:c>
      <x:c r="N38" s="6" t="str">
        <x:v>ملاءمة القطاع والمرحلة والنطاق الجغرافي؛ تأكيد مباشر</x:v>
      </x:c>
      <x:c r="O38" s="6" t="str">
        <x:v>غير مؤكد؛ راجع القناة المنشورة</x:v>
      </x:c>
      <x:c r="P38" s="13" t="str">
        <x:v>لم يتم التواصل</x:v>
      </x:c>
      <x:c r="Q38" s="6" t="str">
        <x:v>تأكيد جهة الاتصال والملاءمة ثم طلب متطلبات التقديم</x:v>
      </x:c>
      <x:c r="R38" s="6" t="str"/>
      <x:c r="S38" s="11" t="d">
        <x:v>2026-10-22T06:00:00.000Z</x:v>
      </x:c>
      <x:c r="T38" s="14" t="e">
        <x:f>HYPERLINK("https://www.fikr.vc/","fikr.vc")</x:f>
        <x:v>HYPERLINK is not implemented. linkLocation=https://www.fikr.vc/, friendlyName=fikr.vc</x:v>
      </x:c>
      <x:c r="U38" s="14" t="str">
        <x:v>غير متاح في المصادر المراجعة</x:v>
      </x:c>
      <x:c r="V38" s="14" t="str">
        <x:v>غير متاح في المصادر المراجعة</x:v>
      </x:c>
      <x:c r="W38" s="6" t="str">
        <x:v>غير متاح في المصادر المراجعة</x:v>
      </x:c>
      <x:c r="X38" s="6" t="str">
        <x:v>غير متاح في المصادر المراجعة</x:v>
      </x:c>
    </x:row>
    <x:row r="39" ht="45" customHeight="1">
      <x:c r="A39" s="10" t="str">
        <x:v>F034</x:v>
      </x:c>
      <x:c r="B39" s="6" t="str">
        <x:v>21 Ventures</x:v>
      </x:c>
      <x:c r="C39" s="6" t="str">
        <x:v>رأس مال جريء</x:v>
      </x:c>
      <x:c r="D39" s="6" t="str">
        <x:v>دبي</x:v>
      </x:c>
      <x:c r="E39" s="6" t="str">
        <x:v>تقنية متعددة القطاعات</x:v>
      </x:c>
      <x:c r="F39" s="6" t="str">
        <x:v>مراحل مبكرة</x:v>
      </x:c>
      <x:c r="G39" s="6" t="str">
        <x:v>حقوق ملكية</x:v>
      </x:c>
      <x:c r="H39" s="6" t="str">
        <x:v>استثمار مباشر</x:v>
      </x:c>
      <x:c r="I39" s="6" t="str">
        <x:v>info@21vc.com</x:v>
      </x:c>
      <x:c r="J39" s="6" t="str">
        <x:v>غير متاح في المصادر المراجعة</x:v>
      </x:c>
      <x:c r="K39" s="6" t="str">
        <x:v>استفسارات عامة</x:v>
      </x:c>
      <x:c r="L39" s="14" t="e">
        <x:f>HYPERLINK("https://21vc.com","21vc.com")</x:f>
        <x:v>HYPERLINK is not implemented. linkLocation=https://21vc.com, friendlyName=21vc.com</x:v>
      </x:c>
      <x:c r="M39" s="14" t="e">
        <x:f>HYPERLINK("https://www.21vc.com/","21vc.com")</x:f>
        <x:v>HYPERLINK is not implemented. linkLocation=https://www.21vc.com/, friendlyName=21vc.com</x:v>
      </x:c>
      <x:c r="N39" s="6" t="str">
        <x:v>ملاءمة القطاع والمرحلة والنطاق الجغرافي؛ تأكيد مباشر</x:v>
      </x:c>
      <x:c r="O39" s="6" t="str">
        <x:v>غير مؤكد؛ راجع القناة المنشورة</x:v>
      </x:c>
      <x:c r="P39" s="13" t="str">
        <x:v>لم يتم التواصل</x:v>
      </x:c>
      <x:c r="Q39" s="6" t="str">
        <x:v>تأكيد جهة الاتصال والملاءمة ثم طلب متطلبات التقديم</x:v>
      </x:c>
      <x:c r="R39" s="6" t="str"/>
      <x:c r="S39" s="11" t="d">
        <x:v>2026-10-22T06:00:00.000Z</x:v>
      </x:c>
      <x:c r="T39" s="14" t="e">
        <x:f>HYPERLINK("https://www.21vc.com/","21vc.com")</x:f>
        <x:v>HYPERLINK is not implemented. linkLocation=https://www.21vc.com/, friendlyName=21vc.com</x:v>
      </x:c>
      <x:c r="U39" s="14" t="e">
        <x:f>HYPERLINK("https://www.21vc.com/","21vc.com")</x:f>
        <x:v>HYPERLINK is not implemented. linkLocation=https://www.21vc.com/, friendlyName=21vc.com</x:v>
      </x:c>
      <x:c r="V39" s="14" t="str">
        <x:v>غير متاح في المصادر المراجعة</x:v>
      </x:c>
      <x:c r="W39" s="6" t="str">
        <x:v>موقع الجهة أو قناة مرتبطة بها</x:v>
      </x:c>
      <x:c r="X39" s="6" t="str">
        <x:v>غير متاح في المصادر المراجعة</x:v>
      </x:c>
    </x:row>
    <x:row r="40" ht="45" customHeight="1">
      <x:c r="A40" s="10" t="str">
        <x:v>F035</x:v>
      </x:c>
      <x:c r="B40" s="6" t="str">
        <x:v>Yellowfin Capital Partners</x:v>
      </x:c>
      <x:c r="C40" s="6" t="str">
        <x:v>رأس مال جريء</x:v>
      </x:c>
      <x:c r="D40" s="6" t="str">
        <x:v>أبوظبي / دبي</x:v>
      </x:c>
      <x:c r="E40" s="6" t="str">
        <x:v>تقنية وتوسع بين آسيا والخليج</x:v>
      </x:c>
      <x:c r="F40" s="6" t="str">
        <x:v>نمو وتوسع</x:v>
      </x:c>
      <x:c r="G40" s="6" t="str">
        <x:v>حقوق ملكية</x:v>
      </x:c>
      <x:c r="H40" s="6" t="str">
        <x:v>استثمار مباشر</x:v>
      </x:c>
      <x:c r="I40" s="6" t="str">
        <x:v>info@yellowfin.vc</x:v>
      </x:c>
      <x:c r="J40" s="6" t="str">
        <x:v>غير متاح في المصادر المراجعة</x:v>
      </x:c>
      <x:c r="K40" s="6" t="str">
        <x:v>استفسارات عامة</x:v>
      </x:c>
      <x:c r="L40" s="14" t="e">
        <x:f>HYPERLINK("https://yellowfin.vc","yellowfin.vc")</x:f>
        <x:v>HYPERLINK is not implemented. linkLocation=https://yellowfin.vc, friendlyName=yellowfin.vc</x:v>
      </x:c>
      <x:c r="M40" s="14" t="e">
        <x:f>HYPERLINK("https://yellowfin.vc/","yellowfin.vc")</x:f>
        <x:v>HYPERLINK is not implemented. linkLocation=https://yellowfin.vc/, friendlyName=yellowfin.vc</x:v>
      </x:c>
      <x:c r="N40" s="6" t="str">
        <x:v>ملاءمة القطاع والمرحلة والنطاق الجغرافي؛ تأكيد مباشر</x:v>
      </x:c>
      <x:c r="O40" s="6" t="str">
        <x:v>غير مؤكد؛ راجع القناة المنشورة</x:v>
      </x:c>
      <x:c r="P40" s="13" t="str">
        <x:v>لم يتم التواصل</x:v>
      </x:c>
      <x:c r="Q40" s="6" t="str">
        <x:v>تأكيد جهة الاتصال والملاءمة ثم طلب متطلبات التقديم</x:v>
      </x:c>
      <x:c r="R40" s="6" t="str"/>
      <x:c r="S40" s="11" t="d">
        <x:v>2026-10-22T06:00:00.000Z</x:v>
      </x:c>
      <x:c r="T40" s="14" t="e">
        <x:f>HYPERLINK("https://yellowfin.vc/","yellowfin.vc")</x:f>
        <x:v>HYPERLINK is not implemented. linkLocation=https://yellowfin.vc/, friendlyName=yellowfin.vc</x:v>
      </x:c>
      <x:c r="U40" s="14" t="e">
        <x:f>HYPERLINK("https://yellowfin.vc/","yellowfin.vc")</x:f>
        <x:v>HYPERLINK is not implemented. linkLocation=https://yellowfin.vc/, friendlyName=yellowfin.vc</x:v>
      </x:c>
      <x:c r="V40" s="14" t="str">
        <x:v>غير متاح في المصادر المراجعة</x:v>
      </x:c>
      <x:c r="W40" s="6" t="str">
        <x:v>موقع الجهة أو قناة مرتبطة بها</x:v>
      </x:c>
      <x:c r="X40" s="6" t="str">
        <x:v>غير متاح في المصادر المراجعة</x:v>
      </x:c>
    </x:row>
    <x:row r="41" ht="45" customHeight="1">
      <x:c r="A41" s="10" t="str">
        <x:v>F036</x:v>
      </x:c>
      <x:c r="B41" s="6" t="str">
        <x:v>TAU Capital</x:v>
      </x:c>
      <x:c r="C41" s="6" t="str">
        <x:v>رأس مال جريء</x:v>
      </x:c>
      <x:c r="D41" s="6" t="str">
        <x:v>أبوظبي</x:v>
      </x:c>
      <x:c r="E41" s="6" t="str">
        <x:v>تقنية عميقة</x:v>
      </x:c>
      <x:c r="F41" s="6" t="str">
        <x:v>نمو</x:v>
      </x:c>
      <x:c r="G41" s="6" t="str">
        <x:v>حقوق ملكية</x:v>
      </x:c>
      <x:c r="H41" s="6" t="str">
        <x:v>استثمار مباشر</x:v>
      </x:c>
      <x:c r="I41" s="6" t="str">
        <x:v>غير متاح في المصادر المراجعة</x:v>
      </x:c>
      <x:c r="J41" s="6" t="str">
        <x:v>غير متاح في المصادر المراجعة</x:v>
      </x:c>
      <x:c r="K41" s="6" t="str">
        <x:v>نموذج / موقع الجهة</x:v>
      </x:c>
      <x:c r="L41" s="14" t="e">
        <x:f>HYPERLINK("https://taucapital.ae","taucapital.ae")</x:f>
        <x:v>HYPERLINK is not implemented. linkLocation=https://taucapital.ae, friendlyName=taucapital.ae</x:v>
      </x:c>
      <x:c r="M41" s="14" t="e">
        <x:f>HYPERLINK("https://www.adgm.com/public-registers/fsra/firms/financial-firms/tau-capital-limited-240095","adgm.com")</x:f>
        <x:v>HYPERLINK is not implemented. linkLocation=https://www.adgm.com/public-registers/fsra/firms/financial-firms/tau-capital-limited-240095, friendlyName=adgm.com</x:v>
      </x:c>
      <x:c r="N41" s="6" t="str">
        <x:v>ملاءمة القطاع والمرحلة والنطاق الجغرافي؛ تأكيد مباشر</x:v>
      </x:c>
      <x:c r="O41" s="6" t="str">
        <x:v>غير مؤكد؛ راجع القناة المنشورة</x:v>
      </x:c>
      <x:c r="P41" s="13" t="str">
        <x:v>لم يتم التواصل</x:v>
      </x:c>
      <x:c r="Q41" s="6" t="str">
        <x:v>تأكيد جهة الاتصال والملاءمة ثم طلب متطلبات التقديم</x:v>
      </x:c>
      <x:c r="R41" s="6" t="str">
        <x:v>المقصود الكيان المسجل بأبوظبي؛ استبعدت جهات أمريكية بالاسم نفسه.</x:v>
      </x:c>
      <x:c r="S41" s="11" t="d">
        <x:v>2026-10-22T06:00:00.000Z</x:v>
      </x:c>
      <x:c r="T41" s="14" t="e">
        <x:f>HYPERLINK("https://www.adgm.com/public-registers/fsra/firms/financial-firms/tau-capital-limited-240095","adgm.com")</x:f>
        <x:v>HYPERLINK is not implemented. linkLocation=https://www.adgm.com/public-registers/fsra/firms/financial-firms/tau-capital-limited-240095, friendlyName=adgm.com</x:v>
      </x:c>
      <x:c r="U41" s="14" t="str">
        <x:v>غير متاح في المصادر المراجعة</x:v>
      </x:c>
      <x:c r="V41" s="14" t="str">
        <x:v>غير متاح في المصادر المراجعة</x:v>
      </x:c>
      <x:c r="W41" s="6" t="str">
        <x:v>غير متاح في المصادر المراجعة</x:v>
      </x:c>
      <x:c r="X41" s="6" t="str">
        <x:v>غير متاح في المصادر المراجعة</x:v>
      </x:c>
    </x:row>
    <x:row r="42" ht="45" customHeight="1">
      <x:c r="A42" s="10" t="str">
        <x:v>F037</x:v>
      </x:c>
      <x:c r="B42" s="6" t="str">
        <x:v>General Atlantic</x:v>
      </x:c>
      <x:c r="C42" s="6" t="str">
        <x:v>رأس مال نمو</x:v>
      </x:c>
      <x:c r="D42" s="6" t="str">
        <x:v>أبوظبي</x:v>
      </x:c>
      <x:c r="E42" s="6" t="str">
        <x:v>تقنية وشركات نمو</x:v>
      </x:c>
      <x:c r="F42" s="6" t="str">
        <x:v>نمو</x:v>
      </x:c>
      <x:c r="G42" s="6" t="str">
        <x:v>حقوق ملكية</x:v>
      </x:c>
      <x:c r="H42" s="6" t="str">
        <x:v>استثمار مباشر</x:v>
      </x:c>
      <x:c r="I42" s="6" t="str">
        <x:v>غير متاح في المصادر المراجعة</x:v>
      </x:c>
      <x:c r="J42" s="6" t="str">
        <x:v>غير متاح في المصادر المراجعة</x:v>
      </x:c>
      <x:c r="K42" s="6" t="str">
        <x:v>نموذج / موقع الجهة</x:v>
      </x:c>
      <x:c r="L42" s="14" t="e">
        <x:f>HYPERLINK("https://generalatlantic.com","generalatlantic.com")</x:f>
        <x:v>HYPERLINK is not implemented. linkLocation=https://generalatlantic.com, friendlyName=generalatlantic.com</x:v>
      </x:c>
      <x:c r="M42" s="14" t="e">
        <x:f>HYPERLINK("https://www.generalatlantic.com/contact/","generalatlantic.com")</x:f>
        <x:v>HYPERLINK is not implemented. linkLocation=https://www.generalatlantic.com/contact/, friendlyName=generalatlantic.com</x:v>
      </x:c>
      <x:c r="N42" s="6" t="str">
        <x:v>ملاءمة القطاع والمرحلة والنطاق الجغرافي؛ تأكيد مباشر</x:v>
      </x:c>
      <x:c r="O42" s="6" t="str">
        <x:v>غير مؤكد؛ راجع القناة المنشورة</x:v>
      </x:c>
      <x:c r="P42" s="13" t="str">
        <x:v>لم يتم التواصل</x:v>
      </x:c>
      <x:c r="Q42" s="6" t="str">
        <x:v>تأكيد جهة الاتصال والملاءمة ثم طلب متطلبات التقديم</x:v>
      </x:c>
      <x:c r="R42" s="6" t="str">
        <x:v>رأس مال نمو؛ قناة مناسبة للشركات المتوسعة أكثر من الأفكار الأولية.</x:v>
      </x:c>
      <x:c r="S42" s="11" t="d">
        <x:v>2026-10-22T06:00:00.000Z</x:v>
      </x:c>
      <x:c r="T42" s="14" t="e">
        <x:f>HYPERLINK("https://www.generalatlantic.com/contact/","generalatlantic.com")</x:f>
        <x:v>HYPERLINK is not implemented. linkLocation=https://www.generalatlantic.com/contact/, friendlyName=generalatlantic.com</x:v>
      </x:c>
      <x:c r="U42" s="14" t="str">
        <x:v>غير متاح في المصادر المراجعة</x:v>
      </x:c>
      <x:c r="V42" s="14" t="str">
        <x:v>غير متاح في المصادر المراجعة</x:v>
      </x:c>
      <x:c r="W42" s="6" t="str">
        <x:v>غير متاح في المصادر المراجعة</x:v>
      </x:c>
      <x:c r="X42" s="6" t="str">
        <x:v>غير متاح في المصادر المراجعة</x:v>
      </x:c>
    </x:row>
    <x:row r="43" ht="45" customHeight="1">
      <x:c r="A43" s="10" t="str">
        <x:v>F038</x:v>
      </x:c>
      <x:c r="B43" s="6" t="str">
        <x:v>SoftBank Vision Fund</x:v>
      </x:c>
      <x:c r="C43" s="6" t="str">
        <x:v>رأس مال نمو</x:v>
      </x:c>
      <x:c r="D43" s="6" t="str">
        <x:v>أبوظبي</x:v>
      </x:c>
      <x:c r="E43" s="6" t="str">
        <x:v>تقنية وذكاء اصطناعي</x:v>
      </x:c>
      <x:c r="F43" s="6" t="str">
        <x:v>نمو</x:v>
      </x:c>
      <x:c r="G43" s="6" t="str">
        <x:v>حقوق ملكية</x:v>
      </x:c>
      <x:c r="H43" s="6" t="str">
        <x:v>استثمار مباشر</x:v>
      </x:c>
      <x:c r="I43" s="6" t="str">
        <x:v>غير متاح في المصادر المراجعة</x:v>
      </x:c>
      <x:c r="J43" s="6" t="str">
        <x:v>غير متاح في المصادر المراجعة</x:v>
      </x:c>
      <x:c r="K43" s="6" t="str">
        <x:v>نموذج / موقع الجهة</x:v>
      </x:c>
      <x:c r="L43" s="14" t="e">
        <x:f>HYPERLINK("https://visionfund.com","visionfund.com")</x:f>
        <x:v>HYPERLINK is not implemented. linkLocation=https://visionfund.com, friendlyName=visionfund.com</x:v>
      </x:c>
      <x:c r="M43" s="14" t="e">
        <x:f>HYPERLINK("https://visionfund.com/contact","visionfund.com")</x:f>
        <x:v>HYPERLINK is not implemented. linkLocation=https://visionfund.com/contact, friendlyName=visionfund.com</x:v>
      </x:c>
      <x:c r="N43" s="6" t="str">
        <x:v>ملاءمة القطاع والمرحلة والنطاق الجغرافي؛ تأكيد مباشر</x:v>
      </x:c>
      <x:c r="O43" s="6" t="str">
        <x:v>غير مؤكد؛ راجع القناة المنشورة</x:v>
      </x:c>
      <x:c r="P43" s="13" t="str">
        <x:v>لم يتم التواصل</x:v>
      </x:c>
      <x:c r="Q43" s="6" t="str">
        <x:v>تأكيد جهة الاتصال والملاءمة ثم طلب متطلبات التقديم</x:v>
      </x:c>
      <x:c r="R43" s="6" t="str">
        <x:v>يركز على شركات التقنية في مراحل النمو؛ لا يفترض قبول تقديم مفتوح.</x:v>
      </x:c>
      <x:c r="S43" s="11" t="d">
        <x:v>2026-10-22T06:00:00.000Z</x:v>
      </x:c>
      <x:c r="T43" s="14" t="e">
        <x:f>HYPERLINK("https://visionfund.com/contact","visionfund.com")</x:f>
        <x:v>HYPERLINK is not implemented. linkLocation=https://visionfund.com/contact, friendlyName=visionfund.com</x:v>
      </x:c>
      <x:c r="U43" s="14" t="str">
        <x:v>غير متاح في المصادر المراجعة</x:v>
      </x:c>
      <x:c r="V43" s="14" t="str">
        <x:v>غير متاح في المصادر المراجعة</x:v>
      </x:c>
      <x:c r="W43" s="6" t="str">
        <x:v>غير متاح في المصادر المراجعة</x:v>
      </x:c>
      <x:c r="X43" s="6" t="str">
        <x:v>غير متاح في المصادر المراجعة</x:v>
      </x:c>
    </x:row>
    <x:row r="44" ht="45" customHeight="1">
      <x:c r="A44" s="10" t="str">
        <x:v>F039</x:v>
      </x:c>
      <x:c r="B44" s="6" t="str">
        <x:v>MSA Novo</x:v>
      </x:c>
      <x:c r="C44" s="6" t="str">
        <x:v>رأس مال جريء</x:v>
      </x:c>
      <x:c r="D44" s="6" t="str">
        <x:v>أبوظبي</x:v>
      </x:c>
      <x:c r="E44" s="6" t="str">
        <x:v>تقنية في الأسواق الناشئة</x:v>
      </x:c>
      <x:c r="F44" s="6" t="str">
        <x:v>متعدد المراحل</x:v>
      </x:c>
      <x:c r="G44" s="6" t="str">
        <x:v>حقوق ملكية</x:v>
      </x:c>
      <x:c r="H44" s="6" t="str">
        <x:v>استثمار مباشر</x:v>
      </x:c>
      <x:c r="I44" s="6" t="str">
        <x:v>ideas@msanovo.com</x:v>
      </x:c>
      <x:c r="J44" s="6" t="str">
        <x:v>غير متاح في المصادر المراجعة</x:v>
      </x:c>
      <x:c r="K44" s="6" t="str">
        <x:v>تمويل / مؤسسون</x:v>
      </x:c>
      <x:c r="L44" s="14" t="e">
        <x:f>HYPERLINK("https://msanovo.com","msanovo.com")</x:f>
        <x:v>HYPERLINK is not implemented. linkLocation=https://msanovo.com, friendlyName=msanovo.com</x:v>
      </x:c>
      <x:c r="M44" s="14" t="e">
        <x:f>HYPERLINK("https://msanovo.com/contact/","msanovo.com")</x:f>
        <x:v>HYPERLINK is not implemented. linkLocation=https://msanovo.com/contact/, friendlyName=msanovo.com</x:v>
      </x:c>
      <x:c r="N44" s="6" t="str">
        <x:v>ملاءمة القطاع والمرحلة والنطاق الجغرافي؛ تأكيد مباشر</x:v>
      </x:c>
      <x:c r="O44" s="6" t="str">
        <x:v>غير مؤكد؛ راجع القناة المنشورة</x:v>
      </x:c>
      <x:c r="P44" s="13" t="str">
        <x:v>لم يتم التواصل</x:v>
      </x:c>
      <x:c r="Q44" s="6" t="str">
        <x:v>تأكيد جهة الاتصال والملاءمة ثم طلب متطلبات التقديم</x:v>
      </x:c>
      <x:c r="R44" s="6" t="str"/>
      <x:c r="S44" s="11" t="d">
        <x:v>2026-10-22T06:00:00.000Z</x:v>
      </x:c>
      <x:c r="T44" s="14" t="e">
        <x:f>HYPERLINK("https://msanovo.com/contact/","msanovo.com")</x:f>
        <x:v>HYPERLINK is not implemented. linkLocation=https://msanovo.com/contact/, friendlyName=msanovo.com</x:v>
      </x:c>
      <x:c r="U44" s="14" t="e">
        <x:f>HYPERLINK("https://msanovo.com/contact/","msanovo.com")</x:f>
        <x:v>HYPERLINK is not implemented. linkLocation=https://msanovo.com/contact/, friendlyName=msanovo.com</x:v>
      </x:c>
      <x:c r="V44" s="14" t="str">
        <x:v>غير متاح في المصادر المراجعة</x:v>
      </x:c>
      <x:c r="W44" s="6" t="str">
        <x:v>موقع الجهة أو قناة مرتبطة بها</x:v>
      </x:c>
      <x:c r="X44" s="6" t="str">
        <x:v>غير متاح في المصادر المراجعة</x:v>
      </x:c>
    </x:row>
    <x:row r="45" ht="45" customHeight="1">
      <x:c r="A45" s="10" t="str">
        <x:v>F040</x:v>
      </x:c>
      <x:c r="B45" s="6" t="str">
        <x:v>Hashed</x:v>
      </x:c>
      <x:c r="C45" s="6" t="str">
        <x:v>رأس مال جريء</x:v>
      </x:c>
      <x:c r="D45" s="6" t="str">
        <x:v>أبوظبي</x:v>
      </x:c>
      <x:c r="E45" s="6" t="str">
        <x:v>Web3 وتقنيات ناشئة</x:v>
      </x:c>
      <x:c r="F45" s="6" t="str">
        <x:v>حسب الاستراتيجية</x:v>
      </x:c>
      <x:c r="G45" s="6" t="str">
        <x:v>حقوق ملكية / أصول رقمية</x:v>
      </x:c>
      <x:c r="H45" s="6" t="str">
        <x:v>استثمار مباشر</x:v>
      </x:c>
      <x:c r="I45" s="6" t="str">
        <x:v>contact@hashed.com</x:v>
      </x:c>
      <x:c r="J45" s="6" t="str">
        <x:v>غير متاح في المصادر المراجعة</x:v>
      </x:c>
      <x:c r="K45" s="6" t="str">
        <x:v>استفسارات عامة</x:v>
      </x:c>
      <x:c r="L45" s="14" t="e">
        <x:f>HYPERLINK("https://hashed.com","hashed.com")</x:f>
        <x:v>HYPERLINK is not implemented. linkLocation=https://hashed.com, friendlyName=hashed.com</x:v>
      </x:c>
      <x:c r="M45" s="14" t="e">
        <x:f>HYPERLINK("https://www.hashed.com/about/","hashed.com")</x:f>
        <x:v>HYPERLINK is not implemented. linkLocation=https://www.hashed.com/about/, friendlyName=hashed.com</x:v>
      </x:c>
      <x:c r="N45" s="6" t="str">
        <x:v>ملاءمة القطاع والمرحلة والنطاق الجغرافي؛ تأكيد مباشر</x:v>
      </x:c>
      <x:c r="O45" s="6" t="str">
        <x:v>غير مؤكد؛ راجع القناة المنشورة</x:v>
      </x:c>
      <x:c r="P45" s="13" t="str">
        <x:v>لم يتم التواصل</x:v>
      </x:c>
      <x:c r="Q45" s="6" t="str">
        <x:v>تأكيد جهة الاتصال والملاءمة ثم طلب متطلبات التقديم</x:v>
      </x:c>
      <x:c r="R45" s="6" t="str"/>
      <x:c r="S45" s="11" t="d">
        <x:v>2026-10-22T06:00:00.000Z</x:v>
      </x:c>
      <x:c r="T45" s="14" t="e">
        <x:f>HYPERLINK("https://www.hashed.com/about/","hashed.com")</x:f>
        <x:v>HYPERLINK is not implemented. linkLocation=https://www.hashed.com/about/, friendlyName=hashed.com</x:v>
      </x:c>
      <x:c r="U45" s="14" t="e">
        <x:f>HYPERLINK("https://www.adgm.com/public-registers/fsra/firms/financial-firms/hashed-global-management-limited-250077","adgm.com")</x:f>
        <x:v>HYPERLINK is not implemented. linkLocation=https://www.adgm.com/public-registers/fsra/firms/financial-firms/hashed-global-management-limited-250077, friendlyName=adgm.com</x:v>
      </x:c>
      <x:c r="V45" s="14" t="str">
        <x:v>غير متاح في المصادر المراجعة</x:v>
      </x:c>
      <x:c r="W45" s="6" t="str">
        <x:v>سجل تنظيمي رسمي</x:v>
      </x:c>
      <x:c r="X45" s="6" t="str">
        <x:v>غير متاح في المصادر المراجعة</x:v>
      </x:c>
    </x:row>
    <x:row r="46" ht="45" customHeight="1">
      <x:c r="A46" s="10" t="str">
        <x:v>F041</x:v>
      </x:c>
      <x:c r="B46" s="6" t="str">
        <x:v>Constructor Capital</x:v>
      </x:c>
      <x:c r="C46" s="6" t="str">
        <x:v>رأس مال جريء</x:v>
      </x:c>
      <x:c r="D46" s="6" t="str">
        <x:v>مكتب / نشاط بأبوظبي</x:v>
      </x:c>
      <x:c r="E46" s="6" t="str">
        <x:v>تقنية عميقة وبرمجيات</x:v>
      </x:c>
      <x:c r="F46" s="6" t="str">
        <x:v>Pre-Seed إلى Series A</x:v>
      </x:c>
      <x:c r="G46" s="6" t="str">
        <x:v>حقوق ملكية</x:v>
      </x:c>
      <x:c r="H46" s="6" t="str">
        <x:v>استثمار مباشر</x:v>
      </x:c>
      <x:c r="I46" s="6" t="str">
        <x:v>غير متاح في المصادر المراجعة</x:v>
      </x:c>
      <x:c r="J46" s="6" t="str">
        <x:v>غير متاح في المصادر المراجعة</x:v>
      </x:c>
      <x:c r="K46" s="6" t="str">
        <x:v>نموذج / موقع الجهة</x:v>
      </x:c>
      <x:c r="L46" s="14" t="e">
        <x:f>HYPERLINK("https://constructor.capital","constructor.capital")</x:f>
        <x:v>HYPERLINK is not implemented. linkLocation=https://constructor.capital, friendlyName=constructor.capital</x:v>
      </x:c>
      <x:c r="M46" s="14" t="e">
        <x:f>HYPERLINK("https://constructor.capital/news/constructor-capital-2025-recap-team-growth-27-portfolio-companies-supported-and-a-new-series-a-investment-in-vitrealab","constructor.capital")</x:f>
        <x:v>HYPERLINK is not implemented. linkLocation=https://constructor.capital/news/constructor-capital-2025-recap-team-growth-27-portfolio-companies-supported-and-a-new-series-a-investment-in-vitrealab, friendlyName=constructor.capital</x:v>
      </x:c>
      <x:c r="N46" s="6" t="str">
        <x:v>ملاءمة القطاع والمرحلة والنطاق الجغرافي؛ تأكيد مباشر</x:v>
      </x:c>
      <x:c r="O46" s="6" t="str">
        <x:v>غير مؤكد؛ راجع القناة المنشورة</x:v>
      </x:c>
      <x:c r="P46" s="13" t="str">
        <x:v>لم يتم التواصل</x:v>
      </x:c>
      <x:c r="Q46" s="6" t="str">
        <x:v>تأكيد جهة الاتصال والملاءمة ثم طلب متطلبات التقديم</x:v>
      </x:c>
      <x:c r="R46" s="6" t="str"/>
      <x:c r="S46" s="11" t="d">
        <x:v>2026-10-22T06:00:00.000Z</x:v>
      </x:c>
      <x:c r="T46" s="14" t="e">
        <x:f>HYPERLINK("https://constructor.capital/","constructor.capital")</x:f>
        <x:v>HYPERLINK is not implemented. linkLocation=https://constructor.capital/, friendlyName=constructor.capital</x:v>
      </x:c>
      <x:c r="U46" s="14" t="str">
        <x:v>غير متاح في المصادر المراجعة</x:v>
      </x:c>
      <x:c r="V46" s="14" t="str">
        <x:v>غير متاح في المصادر المراجعة</x:v>
      </x:c>
      <x:c r="W46" s="6" t="str">
        <x:v>غير متاح في المصادر المراجعة</x:v>
      </x:c>
      <x:c r="X46" s="6" t="str">
        <x:v>غير متاح في المصادر المراجعة</x:v>
      </x:c>
    </x:row>
    <x:row r="47" ht="45" customHeight="1">
      <x:c r="A47" s="10" t="str">
        <x:v>F042</x:v>
      </x:c>
      <x:c r="B47" s="6" t="str">
        <x:v>212</x:v>
      </x:c>
      <x:c r="C47" s="6" t="str">
        <x:v>رأس مال جريء</x:v>
      </x:c>
      <x:c r="D47" s="6" t="str">
        <x:v>دبي</x:v>
      </x:c>
      <x:c r="E47" s="6" t="str">
        <x:v>تقنية الأعمال B2B</x:v>
      </x:c>
      <x:c r="F47" s="6" t="str">
        <x:v>حسب الاستراتيجية</x:v>
      </x:c>
      <x:c r="G47" s="6" t="str">
        <x:v>حقوق ملكية</x:v>
      </x:c>
      <x:c r="H47" s="6" t="str">
        <x:v>استثمار مباشر</x:v>
      </x:c>
      <x:c r="I47" s="6" t="str">
        <x:v>info@212.vc</x:v>
      </x:c>
      <x:c r="J47" s="6" t="str">
        <x:v>غير متاح في المصادر المراجعة</x:v>
      </x:c>
      <x:c r="K47" s="6" t="str">
        <x:v>استفسارات عامة</x:v>
      </x:c>
      <x:c r="L47" s="14" t="e">
        <x:f>HYPERLINK("https://212.vc","212.vc")</x:f>
        <x:v>HYPERLINK is not implemented. linkLocation=https://212.vc, friendlyName=212.vc</x:v>
      </x:c>
      <x:c r="M47" s="14" t="e">
        <x:f>HYPERLINK("https://212.vc/contact/","212.vc")</x:f>
        <x:v>HYPERLINK is not implemented. linkLocation=https://212.vc/contact/, friendlyName=212.vc</x:v>
      </x:c>
      <x:c r="N47" s="6" t="str">
        <x:v>ملاءمة القطاع والمرحلة والنطاق الجغرافي؛ تأكيد مباشر</x:v>
      </x:c>
      <x:c r="O47" s="6" t="str">
        <x:v>غير مؤكد؛ راجع القناة المنشورة</x:v>
      </x:c>
      <x:c r="P47" s="13" t="str">
        <x:v>لم يتم التواصل</x:v>
      </x:c>
      <x:c r="Q47" s="6" t="str">
        <x:v>تأكيد جهة الاتصال والملاءمة ثم طلب متطلبات التقديم</x:v>
      </x:c>
      <x:c r="R47" s="6" t="str"/>
      <x:c r="S47" s="11" t="d">
        <x:v>2026-10-22T06:00:00.000Z</x:v>
      </x:c>
      <x:c r="T47" s="14" t="e">
        <x:f>HYPERLINK("https://212.vc/contact/","212.vc")</x:f>
        <x:v>HYPERLINK is not implemented. linkLocation=https://212.vc/contact/, friendlyName=212.vc</x:v>
      </x:c>
      <x:c r="U47" s="14" t="e">
        <x:f>HYPERLINK("https://212.vc/contact/","212.vc")</x:f>
        <x:v>HYPERLINK is not implemented. linkLocation=https://212.vc/contact/, friendlyName=212.vc</x:v>
      </x:c>
      <x:c r="V47" s="14" t="str">
        <x:v>غير متاح في المصادر المراجعة</x:v>
      </x:c>
      <x:c r="W47" s="6" t="str">
        <x:v>موقع الجهة أو قناة مرتبطة بها</x:v>
      </x:c>
      <x:c r="X47" s="6" t="str">
        <x:v>غير متاح في المصادر المراجعة</x:v>
      </x:c>
    </x:row>
    <x:row r="48" ht="45" customHeight="1">
      <x:c r="A48" s="10" t="str">
        <x:v>F043</x:v>
      </x:c>
      <x:c r="B48" s="6" t="str">
        <x:v>Ajeej Capital</x:v>
      </x:c>
      <x:c r="C48" s="6" t="str">
        <x:v>إدارة استثمار</x:v>
      </x:c>
      <x:c r="D48" s="6" t="str">
        <x:v>دبي</x:v>
      </x:c>
      <x:c r="E48" s="6" t="str">
        <x:v>بلوكتشين ضمن Cabrit</x:v>
      </x:c>
      <x:c r="F48" s="6" t="str">
        <x:v>مراحل مبكرة للصندوق المتخصص</x:v>
      </x:c>
      <x:c r="G48" s="6" t="str">
        <x:v>حقوق ملكية عبر الصندوق</x:v>
      </x:c>
      <x:c r="H48" s="6" t="str">
        <x:v>استثمار مباشر</x:v>
      </x:c>
      <x:c r="I48" s="6" t="str">
        <x:v>ir@ajeej.com</x:v>
      </x:c>
      <x:c r="J48" s="6" t="str">
        <x:v>+971 4 433 6510</x:v>
      </x:c>
      <x:c r="K48" s="6" t="str">
        <x:v>استفسارات عامة</x:v>
      </x:c>
      <x:c r="L48" s="14" t="e">
        <x:f>HYPERLINK("https://ajeej.com","ajeej.com")</x:f>
        <x:v>HYPERLINK is not implemented. linkLocation=https://ajeej.com, friendlyName=ajeej.com</x:v>
      </x:c>
      <x:c r="M48" s="14" t="e">
        <x:f>HYPERLINK("https://www.ajeej.com/contact","ajeej.com")</x:f>
        <x:v>HYPERLINK is not implemented. linkLocation=https://www.ajeej.com/contact, friendlyName=ajeej.com</x:v>
      </x:c>
      <x:c r="N48" s="6" t="str">
        <x:v>ملاءمة القطاع والمرحلة والنطاق الجغرافي؛ تأكيد مباشر</x:v>
      </x:c>
      <x:c r="O48" s="6" t="str">
        <x:v>غير مؤكد؛ راجع القناة المنشورة</x:v>
      </x:c>
      <x:c r="P48" s="13" t="str">
        <x:v>لم يتم التواصل</x:v>
      </x:c>
      <x:c r="Q48" s="6" t="str">
        <x:v>تأكيد جهة الاتصال والملاءمة ثم طلب متطلبات التقديم</x:v>
      </x:c>
      <x:c r="R48" s="6" t="str"/>
      <x:c r="S48" s="11" t="d">
        <x:v>2026-10-22T06:00:00.000Z</x:v>
      </x:c>
      <x:c r="T48" s="14" t="e">
        <x:f>HYPERLINK("https://www.ajeej.com/contact","ajeej.com")</x:f>
        <x:v>HYPERLINK is not implemented. linkLocation=https://www.ajeej.com/contact, friendlyName=ajeej.com</x:v>
      </x:c>
      <x:c r="U48" s="14" t="e">
        <x:f>HYPERLINK("https://www.ajeej.com/contact","ajeej.com")</x:f>
        <x:v>HYPERLINK is not implemented. linkLocation=https://www.ajeej.com/contact, friendlyName=ajeej.com</x:v>
      </x:c>
      <x:c r="V48" s="14" t="e">
        <x:f>HYPERLINK("https://www.ajeej.com/contact","ajeej.com")</x:f>
        <x:v>HYPERLINK is not implemented. linkLocation=https://www.ajeej.com/contact, friendlyName=ajeej.com</x:v>
      </x:c>
      <x:c r="W48" s="6" t="str">
        <x:v>موقع الجهة أو قناة مرتبطة بها</x:v>
      </x:c>
      <x:c r="X48" s="6" t="str">
        <x:v>موقع الجهة أو قناة مرتبطة بها</x:v>
      </x:c>
    </x:row>
    <x:row r="49" ht="45" customHeight="1">
      <x:c r="A49" s="10" t="str">
        <x:v>F044</x:v>
      </x:c>
      <x:c r="B49" s="6" t="str">
        <x:v>Phoenician VC</x:v>
      </x:c>
      <x:c r="C49" s="6" t="str">
        <x:v>رأس مال جريء</x:v>
      </x:c>
      <x:c r="D49" s="6" t="str">
        <x:v>أبوظبي</x:v>
      </x:c>
      <x:c r="E49" s="6" t="str">
        <x:v>تقنية متعددة القطاعات</x:v>
      </x:c>
      <x:c r="F49" s="6" t="str">
        <x:v>مراحل مبكرة</x:v>
      </x:c>
      <x:c r="G49" s="6" t="str">
        <x:v>حقوق ملكية</x:v>
      </x:c>
      <x:c r="H49" s="6" t="str">
        <x:v>استثمار مباشر</x:v>
      </x:c>
      <x:c r="I49" s="6" t="str">
        <x:v>info@phoenician.vc</x:v>
      </x:c>
      <x:c r="J49" s="6" t="str">
        <x:v>+971 56 111 1723</x:v>
      </x:c>
      <x:c r="K49" s="6" t="str">
        <x:v>استفسارات عامة</x:v>
      </x:c>
      <x:c r="L49" s="14" t="e">
        <x:f>HYPERLINK("https://phoenician.vc","phoenician.vc")</x:f>
        <x:v>HYPERLINK is not implemented. linkLocation=https://phoenician.vc, friendlyName=phoenician.vc</x:v>
      </x:c>
      <x:c r="M49" s="14" t="e">
        <x:f>HYPERLINK("https://www.phoenician.vc/contact","phoenician.vc")</x:f>
        <x:v>HYPERLINK is not implemented. linkLocation=https://www.phoenician.vc/contact, friendlyName=phoenician.vc</x:v>
      </x:c>
      <x:c r="N49" s="6" t="str">
        <x:v>ملاءمة القطاع والمرحلة والنطاق الجغرافي؛ تأكيد مباشر</x:v>
      </x:c>
      <x:c r="O49" s="6" t="str">
        <x:v>غير مؤكد؛ راجع القناة المنشورة</x:v>
      </x:c>
      <x:c r="P49" s="13" t="str">
        <x:v>لم يتم التواصل</x:v>
      </x:c>
      <x:c r="Q49" s="6" t="str">
        <x:v>تأكيد جهة الاتصال والملاءمة ثم طلب متطلبات التقديم</x:v>
      </x:c>
      <x:c r="R49" s="6" t="str"/>
      <x:c r="S49" s="11" t="d">
        <x:v>2026-10-22T06:00:00.000Z</x:v>
      </x:c>
      <x:c r="T49" s="14" t="e">
        <x:f>HYPERLINK("https://www.phoenician.vc/contact","phoenician.vc")</x:f>
        <x:v>HYPERLINK is not implemented. linkLocation=https://www.phoenician.vc/contact, friendlyName=phoenician.vc</x:v>
      </x:c>
      <x:c r="U49" s="14" t="e">
        <x:f>HYPERLINK("https://www.phoenician.vc/contact","phoenician.vc")</x:f>
        <x:v>HYPERLINK is not implemented. linkLocation=https://www.phoenician.vc/contact, friendlyName=phoenician.vc</x:v>
      </x:c>
      <x:c r="V49" s="14" t="e">
        <x:f>HYPERLINK("https://www.phoenician.vc/contact","phoenician.vc")</x:f>
        <x:v>HYPERLINK is not implemented. linkLocation=https://www.phoenician.vc/contact, friendlyName=phoenician.vc</x:v>
      </x:c>
      <x:c r="W49" s="6" t="str">
        <x:v>موقع الجهة أو قناة مرتبطة بها</x:v>
      </x:c>
      <x:c r="X49" s="6" t="str">
        <x:v>موقع الجهة أو قناة مرتبطة بها</x:v>
      </x:c>
    </x:row>
    <x:row r="50" ht="45" customHeight="1">
      <x:c r="A50" s="10" t="str">
        <x:v>F045</x:v>
      </x:c>
      <x:c r="B50" s="6" t="str">
        <x:v>Primal Capital</x:v>
      </x:c>
      <x:c r="C50" s="6" t="str">
        <x:v>رأس مال جريء</x:v>
      </x:c>
      <x:c r="D50" s="6" t="str">
        <x:v>أبوظبي</x:v>
      </x:c>
      <x:c r="E50" s="6" t="str">
        <x:v>تقنية تطبيقية وأصول رقمية</x:v>
      </x:c>
      <x:c r="F50" s="6" t="str">
        <x:v>Seed إلى نمو</x:v>
      </x:c>
      <x:c r="G50" s="6" t="str">
        <x:v>حقوق ملكية</x:v>
      </x:c>
      <x:c r="H50" s="6" t="str">
        <x:v>استثمار مباشر</x:v>
      </x:c>
      <x:c r="I50" s="6" t="str">
        <x:v>hello@primalcapital.io</x:v>
      </x:c>
      <x:c r="J50" s="6" t="str">
        <x:v>غير متاح في المصادر المراجعة</x:v>
      </x:c>
      <x:c r="K50" s="6" t="str">
        <x:v>استفسارات عامة</x:v>
      </x:c>
      <x:c r="L50" s="14" t="e">
        <x:f>HYPERLINK("https://primalcapital.io","primalcapital.io")</x:f>
        <x:v>HYPERLINK is not implemented. linkLocation=https://primalcapital.io, friendlyName=primalcapital.io</x:v>
      </x:c>
      <x:c r="M50" s="14" t="e">
        <x:f>HYPERLINK("https://www.primalcapital.io/","primalcapital.io")</x:f>
        <x:v>HYPERLINK is not implemented. linkLocation=https://www.primalcapital.io/, friendlyName=primalcapital.io</x:v>
      </x:c>
      <x:c r="N50" s="6" t="str">
        <x:v>ملاءمة القطاع والمرحلة والنطاق الجغرافي؛ تأكيد مباشر</x:v>
      </x:c>
      <x:c r="O50" s="6" t="str">
        <x:v>غير مؤكد؛ راجع القناة المنشورة</x:v>
      </x:c>
      <x:c r="P50" s="13" t="str">
        <x:v>لم يتم التواصل</x:v>
      </x:c>
      <x:c r="Q50" s="6" t="str">
        <x:v>تأكيد جهة الاتصال والملاءمة ثم طلب متطلبات التقديم</x:v>
      </x:c>
      <x:c r="R50" s="6" t="str"/>
      <x:c r="S50" s="11" t="d">
        <x:v>2026-10-22T06:00:00.000Z</x:v>
      </x:c>
      <x:c r="T50" s="14" t="e">
        <x:f>HYPERLINK("https://www.primalcapital.io/","primalcapital.io")</x:f>
        <x:v>HYPERLINK is not implemented. linkLocation=https://www.primalcapital.io/, friendlyName=primalcapital.io</x:v>
      </x:c>
      <x:c r="U50" s="14" t="e">
        <x:f>HYPERLINK("https://www.primalcapital.io/","primalcapital.io")</x:f>
        <x:v>HYPERLINK is not implemented. linkLocation=https://www.primalcapital.io/, friendlyName=primalcapital.io</x:v>
      </x:c>
      <x:c r="V50" s="14" t="str">
        <x:v>غير متاح في المصادر المراجعة</x:v>
      </x:c>
      <x:c r="W50" s="6" t="str">
        <x:v>موقع الجهة أو قناة مرتبطة بها</x:v>
      </x:c>
      <x:c r="X50" s="6" t="str">
        <x:v>غير متاح في المصادر المراجعة</x:v>
      </x:c>
    </x:row>
    <x:row r="51" ht="45" customHeight="1">
      <x:c r="A51" s="10" t="str">
        <x:v>F046</x:v>
      </x:c>
      <x:c r="B51" s="6" t="str">
        <x:v>Lunara Partners</x:v>
      </x:c>
      <x:c r="C51" s="6" t="str">
        <x:v>رأس مال جريء</x:v>
      </x:c>
      <x:c r="D51" s="6" t="str">
        <x:v>دبي</x:v>
      </x:c>
      <x:c r="E51" s="6" t="str">
        <x:v>تقنية متعددة القطاعات</x:v>
      </x:c>
      <x:c r="F51" s="6" t="str">
        <x:v>متعدد المراحل</x:v>
      </x:c>
      <x:c r="G51" s="6" t="str">
        <x:v>حقوق ملكية</x:v>
      </x:c>
      <x:c r="H51" s="6" t="str">
        <x:v>استثمار مباشر</x:v>
      </x:c>
      <x:c r="I51" s="6" t="str">
        <x:v>info@lunarapartners.com</x:v>
      </x:c>
      <x:c r="J51" s="6" t="str">
        <x:v>غير متاح في المصادر المراجعة</x:v>
      </x:c>
      <x:c r="K51" s="6" t="str">
        <x:v>شراكات / استفسارات أعمال</x:v>
      </x:c>
      <x:c r="L51" s="14" t="e">
        <x:f>HYPERLINK("https://lunarapartners.com","lunarapartners.com")</x:f>
        <x:v>HYPERLINK is not implemented. linkLocation=https://lunarapartners.com, friendlyName=lunarapartners.com</x:v>
      </x:c>
      <x:c r="M51" s="14" t="e">
        <x:f>HYPERLINK("https://www.lunarapartners.com/contact.html","lunarapartners.com")</x:f>
        <x:v>HYPERLINK is not implemented. linkLocation=https://www.lunarapartners.com/contact.html, friendlyName=lunarapartners.com</x:v>
      </x:c>
      <x:c r="N51" s="6" t="str">
        <x:v>ملاءمة القطاع والمرحلة والنطاق الجغرافي؛ تأكيد مباشر</x:v>
      </x:c>
      <x:c r="O51" s="6" t="str">
        <x:v>غير مؤكد؛ راجع القناة المنشورة</x:v>
      </x:c>
      <x:c r="P51" s="13" t="str">
        <x:v>لم يتم التواصل</x:v>
      </x:c>
      <x:c r="Q51" s="6" t="str">
        <x:v>تأكيد جهة الاتصال والملاءمة ثم طلب متطلبات التقديم</x:v>
      </x:c>
      <x:c r="R51" s="6" t="str"/>
      <x:c r="S51" s="11" t="d">
        <x:v>2026-10-22T06:00:00.000Z</x:v>
      </x:c>
      <x:c r="T51" s="14" t="e">
        <x:f>HYPERLINK("https://www.lunarapartners.com/contact.html","lunarapartners.com")</x:f>
        <x:v>HYPERLINK is not implemented. linkLocation=https://www.lunarapartners.com/contact.html, friendlyName=lunarapartners.com</x:v>
      </x:c>
      <x:c r="U51" s="14" t="e">
        <x:f>HYPERLINK("https://www.crunchbase.com/organization/lunara-partners","crunchbase.com")</x:f>
        <x:v>HYPERLINK is not implemented. linkLocation=https://www.crunchbase.com/organization/lunara-partners, friendlyName=crunchbase.com</x:v>
      </x:c>
      <x:c r="V51" s="14" t="str">
        <x:v>غير متاح في المصادر المراجعة</x:v>
      </x:c>
      <x:c r="W51" s="6" t="str">
        <x:v>مصدر ثانوي؛ يلزم تأكيد مباشر</x:v>
      </x:c>
      <x:c r="X51" s="6" t="str">
        <x:v>غير متاح في المصادر المراجعة</x:v>
      </x:c>
    </x:row>
    <x:row r="52" ht="45" customHeight="1">
      <x:c r="A52" s="10" t="str">
        <x:v>F047</x:v>
      </x:c>
      <x:c r="B52" s="6" t="str">
        <x:v>Pininvest</x:v>
      </x:c>
      <x:c r="C52" s="6" t="str">
        <x:v>استثمار جريء</x:v>
      </x:c>
      <x:c r="D52" s="6" t="str">
        <x:v>دبي</x:v>
      </x:c>
      <x:c r="E52" s="6" t="str">
        <x:v>تقنية متعددة القطاعات</x:v>
      </x:c>
      <x:c r="F52" s="6" t="str">
        <x:v>مراحل مبكرة</x:v>
      </x:c>
      <x:c r="G52" s="6" t="str">
        <x:v>استثمار ملائكي وصناديق</x:v>
      </x:c>
      <x:c r="H52" s="6" t="str">
        <x:v>استثمار مباشر وغير مباشر</x:v>
      </x:c>
      <x:c r="I52" s="6" t="str">
        <x:v>غير متاح في المصادر المراجعة</x:v>
      </x:c>
      <x:c r="J52" s="6" t="str">
        <x:v>غير متاح في المصادر المراجعة</x:v>
      </x:c>
      <x:c r="K52" s="6" t="str">
        <x:v>نموذج / موقع الجهة</x:v>
      </x:c>
      <x:c r="L52" s="14" t="e">
        <x:f>HYPERLINK("https://pininvest.co","pininvest.co")</x:f>
        <x:v>HYPERLINK is not implemented. linkLocation=https://pininvest.co, friendlyName=pininvest.co</x:v>
      </x:c>
      <x:c r="M52" s="14" t="e">
        <x:f>HYPERLINK("https://www.linkedin.com/company/pin-invest","linkedin.com")</x:f>
        <x:v>HYPERLINK is not implemented. linkLocation=https://www.linkedin.com/company/pin-invest, friendlyName=linkedin.com</x:v>
      </x:c>
      <x:c r="N52" s="6" t="str">
        <x:v>ملاءمة القطاع والمرحلة والنطاق الجغرافي؛ تأكيد مباشر</x:v>
      </x:c>
      <x:c r="O52" s="6" t="str">
        <x:v>غير مؤكد؛ راجع القناة المنشورة</x:v>
      </x:c>
      <x:c r="P52" s="13" t="str">
        <x:v>لم يتم التواصل</x:v>
      </x:c>
      <x:c r="Q52" s="6" t="str">
        <x:v>تأكيد جهة الاتصال والملاءمة ثم طلب متطلبات التقديم</x:v>
      </x:c>
      <x:c r="R52" s="6" t="str">
        <x:v>الجهة المقصودة Pin Invest على pininvest.co؛ استبعدت pininvest.com التابع لخدمة أخرى.</x:v>
      </x:c>
      <x:c r="S52" s="11" t="d">
        <x:v>2026-10-22T06:00:00.000Z</x:v>
      </x:c>
      <x:c r="T52" s="14" t="e">
        <x:f>HYPERLINK("https://www.linkedin.com/company/pin-invest","linkedin.com")</x:f>
        <x:v>HYPERLINK is not implemented. linkLocation=https://www.linkedin.com/company/pin-invest, friendlyName=linkedin.com</x:v>
      </x:c>
      <x:c r="U52" s="14" t="str">
        <x:v>غير متاح في المصادر المراجعة</x:v>
      </x:c>
      <x:c r="V52" s="14" t="str">
        <x:v>غير متاح في المصادر المراجعة</x:v>
      </x:c>
      <x:c r="W52" s="6" t="str">
        <x:v>غير متاح في المصادر المراجعة</x:v>
      </x:c>
      <x:c r="X52" s="6" t="str">
        <x:v>غير متاح في المصادر المراجعة</x:v>
      </x:c>
    </x:row>
    <x:row r="53" ht="45" customHeight="1">
      <x:c r="A53" s="10" t="str">
        <x:v>F048</x:v>
      </x:c>
      <x:c r="B53" s="6" t="str">
        <x:v>Venturewave Capital</x:v>
      </x:c>
      <x:c r="C53" s="6" t="str">
        <x:v>رأس مال جريء</x:v>
      </x:c>
      <x:c r="D53" s="6" t="str">
        <x:v>أبوظبي</x:v>
      </x:c>
      <x:c r="E53" s="6" t="str">
        <x:v>تقنية ذات أثر</x:v>
      </x:c>
      <x:c r="F53" s="6" t="str">
        <x:v>نمو</x:v>
      </x:c>
      <x:c r="G53" s="6" t="str">
        <x:v>حقوق ملكية</x:v>
      </x:c>
      <x:c r="H53" s="6" t="str">
        <x:v>استثمار مباشر</x:v>
      </x:c>
      <x:c r="I53" s="6" t="str">
        <x:v>capitalsolutions@venturewave.com</x:v>
      </x:c>
      <x:c r="J53" s="6" t="str">
        <x:v>غير متاح في المصادر المراجعة</x:v>
      </x:c>
      <x:c r="K53" s="6" t="str">
        <x:v>شراكات / استفسارات أعمال</x:v>
      </x:c>
      <x:c r="L53" s="14" t="e">
        <x:f>HYPERLINK("https://venturewave.capital","venturewave.capital")</x:f>
        <x:v>HYPERLINK is not implemented. linkLocation=https://venturewave.capital, friendlyName=venturewave.capital</x:v>
      </x:c>
      <x:c r="M53" s="14" t="e">
        <x:f>HYPERLINK("https://venturewave.capital/get-in-touch/","venturewave.capital")</x:f>
        <x:v>HYPERLINK is not implemented. linkLocation=https://venturewave.capital/get-in-touch/, friendlyName=venturewave.capital</x:v>
      </x:c>
      <x:c r="N53" s="6" t="str">
        <x:v>ملاءمة القطاع والمرحلة والنطاق الجغرافي؛ تأكيد مباشر</x:v>
      </x:c>
      <x:c r="O53" s="6" t="str">
        <x:v>غير مؤكد؛ راجع القناة المنشورة</x:v>
      </x:c>
      <x:c r="P53" s="13" t="str">
        <x:v>لم يتم التواصل</x:v>
      </x:c>
      <x:c r="Q53" s="6" t="str">
        <x:v>تأكيد جهة الاتصال والملاءمة ثم طلب متطلبات التقديم</x:v>
      </x:c>
      <x:c r="R53" s="6" t="str"/>
      <x:c r="S53" s="11" t="d">
        <x:v>2026-10-22T06:00:00.000Z</x:v>
      </x:c>
      <x:c r="T53" s="14" t="e">
        <x:f>HYPERLINK("https://venturewave.capital/get-in-touch/","venturewave.capital")</x:f>
        <x:v>HYPERLINK is not implemented. linkLocation=https://venturewave.capital/get-in-touch/, friendlyName=venturewave.capital</x:v>
      </x:c>
      <x:c r="U53" s="14" t="e">
        <x:f>HYPERLINK("https://venturewave.capital/get-in-touch/","venturewave.capital")</x:f>
        <x:v>HYPERLINK is not implemented. linkLocation=https://venturewave.capital/get-in-touch/, friendlyName=venturewave.capital</x:v>
      </x:c>
      <x:c r="V53" s="14" t="str">
        <x:v>غير متاح في المصادر المراجعة</x:v>
      </x:c>
      <x:c r="W53" s="6" t="str">
        <x:v>موقع الجهة أو قناة مرتبطة بها</x:v>
      </x:c>
      <x:c r="X53" s="6" t="str">
        <x:v>غير متاح في المصادر المراجعة</x:v>
      </x:c>
    </x:row>
    <x:row r="54" ht="45" customHeight="1">
      <x:c r="A54" s="10" t="str">
        <x:v>F049</x:v>
      </x:c>
      <x:c r="B54" s="6" t="str">
        <x:v>Dubai Angel Investors</x:v>
      </x:c>
      <x:c r="C54" s="6" t="str">
        <x:v>شبكة مستثمرين ملائكيين</x:v>
      </x:c>
      <x:c r="D54" s="6" t="str">
        <x:v>دبي</x:v>
      </x:c>
      <x:c r="E54" s="6" t="str">
        <x:v>تقنية متعددة القطاعات</x:v>
      </x:c>
      <x:c r="F54" s="6" t="str">
        <x:v>مراحل مبكرة</x:v>
      </x:c>
      <x:c r="G54" s="6" t="str">
        <x:v>استثمار ملائكي</x:v>
      </x:c>
      <x:c r="H54" s="6" t="str">
        <x:v>استثمار الأعضاء</x:v>
      </x:c>
      <x:c r="I54" s="6" t="str">
        <x:v>info@dubaiangelinvestors.me</x:v>
      </x:c>
      <x:c r="J54" s="6" t="str">
        <x:v>غير متاح في المصادر المراجعة</x:v>
      </x:c>
      <x:c r="K54" s="6" t="str">
        <x:v>استفسارات عامة</x:v>
      </x:c>
      <x:c r="L54" s="14" t="e">
        <x:f>HYPERLINK("https://dubaiangelinvestors.me","dubaiangelinvestors.me")</x:f>
        <x:v>HYPERLINK is not implemented. linkLocation=https://dubaiangelinvestors.me, friendlyName=dubaiangelinvestors.me</x:v>
      </x:c>
      <x:c r="M54" s="14" t="e">
        <x:f>HYPERLINK("https://www.dubaiangelinvestors.me/application","dubaiangelinvestors.me")</x:f>
        <x:v>HYPERLINK is not implemented. linkLocation=https://www.dubaiangelinvestors.me/application, friendlyName=dubaiangelinvestors.me</x:v>
      </x:c>
      <x:c r="N54" s="6" t="str">
        <x:v>ملاءمة القطاع والمرحلة والنطاق الجغرافي؛ تأكيد مباشر</x:v>
      </x:c>
      <x:c r="O54" s="6" t="str">
        <x:v>غير مؤكد؛ راجع القناة المنشورة</x:v>
      </x:c>
      <x:c r="P54" s="13" t="str">
        <x:v>لم يتم التواصل</x:v>
      </x:c>
      <x:c r="Q54" s="6" t="str">
        <x:v>تأكيد جهة الاتصال والملاءمة ثم طلب متطلبات التقديم</x:v>
      </x:c>
      <x:c r="R54" s="6" t="str"/>
      <x:c r="S54" s="11" t="d">
        <x:v>2026-10-22T06:00:00.000Z</x:v>
      </x:c>
      <x:c r="T54" s="14" t="e">
        <x:f>HYPERLINK("https://www.dubaiangelinvestors.me/application","dubaiangelinvestors.me")</x:f>
        <x:v>HYPERLINK is not implemented. linkLocation=https://www.dubaiangelinvestors.me/application, friendlyName=dubaiangelinvestors.me</x:v>
      </x:c>
      <x:c r="U54" s="14" t="e">
        <x:f>HYPERLINK("https://www.dubaiangelinvestors.me/application","dubaiangelinvestors.me")</x:f>
        <x:v>HYPERLINK is not implemented. linkLocation=https://www.dubaiangelinvestors.me/application, friendlyName=dubaiangelinvestors.me</x:v>
      </x:c>
      <x:c r="V54" s="14" t="str">
        <x:v>غير متاح في المصادر المراجعة</x:v>
      </x:c>
      <x:c r="W54" s="6" t="str">
        <x:v>موقع الجهة أو قناة مرتبطة بها</x:v>
      </x:c>
      <x:c r="X54" s="6" t="str">
        <x:v>غير متاح في المصادر المراجعة</x:v>
      </x:c>
    </x:row>
    <x:row r="55" ht="45" customHeight="1">
      <x:c r="A55" s="10" t="str">
        <x:v>F050</x:v>
      </x:c>
      <x:c r="B55" s="6" t="str">
        <x:v>Emirates Angels</x:v>
      </x:c>
      <x:c r="C55" s="6" t="str">
        <x:v>جمعية مستثمرين ملائكيين</x:v>
      </x:c>
      <x:c r="D55" s="6" t="str">
        <x:v>الإمارات</x:v>
      </x:c>
      <x:c r="E55" s="6" t="str">
        <x:v>تقنية متعددة القطاعات</x:v>
      </x:c>
      <x:c r="F55" s="6" t="str">
        <x:v>مراحل مبكرة</x:v>
      </x:c>
      <x:c r="G55" s="6" t="str">
        <x:v>شبكة استثمار ملائكي</x:v>
      </x:c>
      <x:c r="H55" s="6" t="str">
        <x:v>ربط بالأعضاء؛ الجمعية لا تستثمر مباشرة</x:v>
      </x:c>
      <x:c r="I55" s="6" t="str">
        <x:v>info@emiratesangels.org</x:v>
      </x:c>
      <x:c r="J55" s="6" t="str">
        <x:v>غير متاح في المصادر المراجعة</x:v>
      </x:c>
      <x:c r="K55" s="6" t="str">
        <x:v>استفسارات عامة</x:v>
      </x:c>
      <x:c r="L55" s="14" t="e">
        <x:f>HYPERLINK("https://emiratesangels.org","emiratesangels.org")</x:f>
        <x:v>HYPERLINK is not implemented. linkLocation=https://emiratesangels.org, friendlyName=emiratesangels.org</x:v>
      </x:c>
      <x:c r="M55" s="14" t="e">
        <x:f>HYPERLINK("https://play.google.com/store/apps/details?id=com.emirates.angels","play.google.com")</x:f>
        <x:v>HYPERLINK is not implemented. linkLocation=https://play.google.com/store/apps/details?id=com.emirates.angels, friendlyName=play.google.com</x:v>
      </x:c>
      <x:c r="N55" s="6" t="str">
        <x:v>ملاءمة القطاع والمرحلة والنطاق الجغرافي؛ تأكيد مباشر</x:v>
      </x:c>
      <x:c r="O55" s="6" t="str">
        <x:v>غير مؤكد؛ راجع القناة المنشورة</x:v>
      </x:c>
      <x:c r="P55" s="13" t="str">
        <x:v>لم يتم التواصل</x:v>
      </x:c>
      <x:c r="Q55" s="6" t="str">
        <x:v>تأكيد جهة الاتصال والملاءمة ثم طلب متطلبات التقديم</x:v>
      </x:c>
      <x:c r="R55" s="6" t="str">
        <x:v>جمعية للمستثمرين؛ الاستثمار يتم بواسطة الأعضاء.</x:v>
      </x:c>
      <x:c r="S55" s="11" t="d">
        <x:v>2026-10-22T06:00:00.000Z</x:v>
      </x:c>
      <x:c r="T55" s="14" t="e">
        <x:f>HYPERLINK("https://play.google.com/store/apps/details?id=com.emirates.angels","play.google.com")</x:f>
        <x:v>HYPERLINK is not implemented. linkLocation=https://play.google.com/store/apps/details?id=com.emirates.angels, friendlyName=play.google.com</x:v>
      </x:c>
      <x:c r="U55" s="14" t="e">
        <x:f>HYPERLINK("https://www.setupinabudhabi.ae/wp-content/uploads/2025/08/ADSMEHubReport2021.pdf","setupinabudhabi.ae")</x:f>
        <x:v>HYPERLINK is not implemented. linkLocation=https://www.setupinabudhabi.ae/wp-content/uploads/2025/08/ADSMEHubReport2021.pdf, friendlyName=setupinabudhabi.ae</x:v>
      </x:c>
      <x:c r="V55" s="14" t="str">
        <x:v>غير متاح في المصادر المراجعة</x:v>
      </x:c>
      <x:c r="W55" s="6" t="str">
        <x:v>مصدر ثانوي؛ يلزم تأكيد مباشر</x:v>
      </x:c>
      <x:c r="X55" s="6" t="str">
        <x:v>غير متاح في المصادر المراجعة</x:v>
      </x:c>
    </x:row>
    <x:row r="56" ht="45" customHeight="1">
      <x:c r="A56" s="10" t="str">
        <x:v>F051</x:v>
      </x:c>
      <x:c r="B56" s="6" t="str">
        <x:v>AngelSpark</x:v>
      </x:c>
      <x:c r="C56" s="6" t="str">
        <x:v>شبكة مستثمرين ملائكيين</x:v>
      </x:c>
      <x:c r="D56" s="6" t="str">
        <x:v>دبي</x:v>
      </x:c>
      <x:c r="E56" s="6" t="str">
        <x:v>تقنية متعددة القطاعات</x:v>
      </x:c>
      <x:c r="F56" s="6" t="str">
        <x:v>Pre-Seed وSeed</x:v>
      </x:c>
      <x:c r="G56" s="6" t="str">
        <x:v>استثمار ملائكي مجمع</x:v>
      </x:c>
      <x:c r="H56" s="6" t="str">
        <x:v>استثمار الأعضاء</x:v>
      </x:c>
      <x:c r="I56" s="6" t="str">
        <x:v>admin@angelspark.net</x:v>
      </x:c>
      <x:c r="J56" s="6" t="str">
        <x:v>غير متاح في المصادر المراجعة</x:v>
      </x:c>
      <x:c r="K56" s="6" t="str">
        <x:v>استفسارات عامة</x:v>
      </x:c>
      <x:c r="L56" s="14" t="e">
        <x:f>HYPERLINK("https://angelspark.net","angelspark.net")</x:f>
        <x:v>HYPERLINK is not implemented. linkLocation=https://angelspark.net, friendlyName=angelspark.net</x:v>
      </x:c>
      <x:c r="M56" s="14" t="e">
        <x:f>HYPERLINK("https://www.crunchbase.com/organization/angelspark","crunchbase.com")</x:f>
        <x:v>HYPERLINK is not implemented. linkLocation=https://www.crunchbase.com/organization/angelspark, friendlyName=crunchbase.com</x:v>
      </x:c>
      <x:c r="N56" s="6" t="str">
        <x:v>ملاءمة القطاع والمرحلة والنطاق الجغرافي؛ تأكيد مباشر</x:v>
      </x:c>
      <x:c r="O56" s="6" t="str">
        <x:v>غير مؤكد؛ راجع القناة المنشورة</x:v>
      </x:c>
      <x:c r="P56" s="13" t="str">
        <x:v>لم يتم التواصل</x:v>
      </x:c>
      <x:c r="Q56" s="6" t="str">
        <x:v>تأكيد جهة الاتصال والملاءمة ثم طلب متطلبات التقديم</x:v>
      </x:c>
      <x:c r="R56" s="6" t="str"/>
      <x:c r="S56" s="11" t="d">
        <x:v>2026-10-22T06:00:00.000Z</x:v>
      </x:c>
      <x:c r="T56" s="14" t="e">
        <x:f>HYPERLINK("https://www.crunchbase.com/organization/angelspark","crunchbase.com")</x:f>
        <x:v>HYPERLINK is not implemented. linkLocation=https://www.crunchbase.com/organization/angelspark, friendlyName=crunchbase.com</x:v>
      </x:c>
      <x:c r="U56" s="14" t="e">
        <x:f>HYPERLINK("https://www.crunchbase.com/organization/angelspark","crunchbase.com")</x:f>
        <x:v>HYPERLINK is not implemented. linkLocation=https://www.crunchbase.com/organization/angelspark, friendlyName=crunchbase.com</x:v>
      </x:c>
      <x:c r="V56" s="14" t="str">
        <x:v>غير متاح في المصادر المراجعة</x:v>
      </x:c>
      <x:c r="W56" s="6" t="str">
        <x:v>مصدر ثانوي؛ يلزم تأكيد مباشر</x:v>
      </x:c>
      <x:c r="X56" s="6" t="str">
        <x:v>غير متاح في المصادر المراجعة</x:v>
      </x:c>
    </x:row>
    <x:row r="57" ht="45" customHeight="1">
      <x:c r="A57" s="10" t="str">
        <x:v>F052</x:v>
      </x:c>
      <x:c r="B57" s="6" t="str">
        <x:v>Sandstorm VC</x:v>
      </x:c>
      <x:c r="C57" s="6" t="str">
        <x:v>نقابة مستثمرين ملائكيين</x:v>
      </x:c>
      <x:c r="D57" s="6" t="str">
        <x:v>دبي</x:v>
      </x:c>
      <x:c r="E57" s="6" t="str">
        <x:v>تقنية متعددة القطاعات</x:v>
      </x:c>
      <x:c r="F57" s="6" t="str">
        <x:v>مراحل مبكرة</x:v>
      </x:c>
      <x:c r="G57" s="6" t="str">
        <x:v>استثمار ملائكي مجمع</x:v>
      </x:c>
      <x:c r="H57" s="6" t="str">
        <x:v>استثمار الأعضاء</x:v>
      </x:c>
      <x:c r="I57" s="6" t="str">
        <x:v>intro@sandstorm.vc</x:v>
      </x:c>
      <x:c r="J57" s="6" t="str">
        <x:v>غير متاح في المصادر المراجعة</x:v>
      </x:c>
      <x:c r="K57" s="6" t="str">
        <x:v>استفسارات عامة</x:v>
      </x:c>
      <x:c r="L57" s="14" t="e">
        <x:f>HYPERLINK("https://sandstorm.vc","sandstorm.vc")</x:f>
        <x:v>HYPERLINK is not implemented. linkLocation=https://sandstorm.vc, friendlyName=sandstorm.vc</x:v>
      </x:c>
      <x:c r="M57" s="14" t="e">
        <x:f>HYPERLINK("https://sandstorm.vc/sandstorm-vc","sandstorm.vc")</x:f>
        <x:v>HYPERLINK is not implemented. linkLocation=https://sandstorm.vc/sandstorm-vc, friendlyName=sandstorm.vc</x:v>
      </x:c>
      <x:c r="N57" s="6" t="str">
        <x:v>ملاءمة القطاع والمرحلة والنطاق الجغرافي؛ تأكيد مباشر</x:v>
      </x:c>
      <x:c r="O57" s="6" t="str">
        <x:v>غير مؤكد؛ راجع القناة المنشورة</x:v>
      </x:c>
      <x:c r="P57" s="13" t="str">
        <x:v>لم يتم التواصل</x:v>
      </x:c>
      <x:c r="Q57" s="6" t="str">
        <x:v>تأكيد جهة الاتصال والملاءمة ثم طلب متطلبات التقديم</x:v>
      </x:c>
      <x:c r="R57" s="6" t="str"/>
      <x:c r="S57" s="11" t="d">
        <x:v>2026-10-22T06:00:00.000Z</x:v>
      </x:c>
      <x:c r="T57" s="14" t="e">
        <x:f>HYPERLINK("https://sandstorm.vc/sandstorm-vc","sandstorm.vc")</x:f>
        <x:v>HYPERLINK is not implemented. linkLocation=https://sandstorm.vc/sandstorm-vc, friendlyName=sandstorm.vc</x:v>
      </x:c>
      <x:c r="U57" s="14" t="e">
        <x:f>HYPERLINK("https://sandstorm.vc/privacy-policy-1","sandstorm.vc")</x:f>
        <x:v>HYPERLINK is not implemented. linkLocation=https://sandstorm.vc/privacy-policy-1, friendlyName=sandstorm.vc</x:v>
      </x:c>
      <x:c r="V57" s="14" t="str">
        <x:v>غير متاح في المصادر المراجعة</x:v>
      </x:c>
      <x:c r="W57" s="6" t="str">
        <x:v>موقع الجهة أو قناة مرتبطة بها</x:v>
      </x:c>
      <x:c r="X57" s="6" t="str">
        <x:v>غير متاح في المصادر المراجعة</x:v>
      </x:c>
    </x:row>
    <x:row r="58" ht="45" customHeight="1">
      <x:c r="A58" s="10" t="str">
        <x:v>F053</x:v>
      </x:c>
      <x:c r="B58" s="6" t="str">
        <x:v>Keiretsu Forum MENA</x:v>
      </x:c>
      <x:c r="C58" s="6" t="str">
        <x:v>شبكة مستثمرين ملائكيين</x:v>
      </x:c>
      <x:c r="D58" s="6" t="str">
        <x:v>دبي</x:v>
      </x:c>
      <x:c r="E58" s="6" t="str">
        <x:v>متعدد القطاعات</x:v>
      </x:c>
      <x:c r="F58" s="6" t="str">
        <x:v>حسب فرص الأعضاء</x:v>
      </x:c>
      <x:c r="G58" s="6" t="str">
        <x:v>استثمار ملائكي</x:v>
      </x:c>
      <x:c r="H58" s="6" t="str">
        <x:v>استثمار الأعضاء</x:v>
      </x:c>
      <x:c r="I58" s="6" t="str">
        <x:v>keiretsumena@keiretsuforum.com</x:v>
      </x:c>
      <x:c r="J58" s="6" t="str">
        <x:v>غير متاح في المصادر المراجعة</x:v>
      </x:c>
      <x:c r="K58" s="6" t="str">
        <x:v>استفسارات عامة</x:v>
      </x:c>
      <x:c r="L58" s="14" t="e">
        <x:f>HYPERLINK("https://keiretsumena.com","keiretsumena.com")</x:f>
        <x:v>HYPERLINK is not implemented. linkLocation=https://keiretsumena.com, friendlyName=keiretsumena.com</x:v>
      </x:c>
      <x:c r="M58" s="14" t="e">
        <x:f>HYPERLINK("https://keiretsu-forum-mena.odoo.com/contactus","keiretsu-forum-mena.odoo.com")</x:f>
        <x:v>HYPERLINK is not implemented. linkLocation=https://keiretsu-forum-mena.odoo.com/contactus, friendlyName=keiretsu-forum-mena.odoo.com</x:v>
      </x:c>
      <x:c r="N58" s="6" t="str">
        <x:v>ملاءمة القطاع والمرحلة والنطاق الجغرافي؛ تأكيد مباشر</x:v>
      </x:c>
      <x:c r="O58" s="6" t="str">
        <x:v>غير مؤكد؛ راجع القناة المنشورة</x:v>
      </x:c>
      <x:c r="P58" s="13" t="str">
        <x:v>لم يتم التواصل</x:v>
      </x:c>
      <x:c r="Q58" s="6" t="str">
        <x:v>تأكيد جهة الاتصال والملاءمة ثم طلب متطلبات التقديم</x:v>
      </x:c>
      <x:c r="R58" s="6" t="str"/>
      <x:c r="S58" s="11" t="d">
        <x:v>2026-10-22T06:00:00.000Z</x:v>
      </x:c>
      <x:c r="T58" s="14" t="e">
        <x:f>HYPERLINK("https://keiretsu-forum-mena.odoo.com/contactus","keiretsu-forum-mena.odoo.com")</x:f>
        <x:v>HYPERLINK is not implemented. linkLocation=https://keiretsu-forum-mena.odoo.com/contactus, friendlyName=keiretsu-forum-mena.odoo.com</x:v>
      </x:c>
      <x:c r="U58" s="14" t="e">
        <x:f>HYPERLINK("https://keiretsu-forum-mena.odoo.com/contactus","keiretsu-forum-mena.odoo.com")</x:f>
        <x:v>HYPERLINK is not implemented. linkLocation=https://keiretsu-forum-mena.odoo.com/contactus, friendlyName=keiretsu-forum-mena.odoo.com</x:v>
      </x:c>
      <x:c r="V58" s="14" t="str">
        <x:v>غير متاح في المصادر المراجعة</x:v>
      </x:c>
      <x:c r="W58" s="6" t="str">
        <x:v>موقع الجهة أو قناة مرتبطة بها</x:v>
      </x:c>
      <x:c r="X58" s="6" t="str">
        <x:v>غير متاح في المصادر المراجعة</x:v>
      </x:c>
    </x:row>
    <x:row r="59" ht="45" customHeight="1">
      <x:c r="A59" s="10" t="str">
        <x:v>F054</x:v>
      </x:c>
      <x:c r="B59" s="6" t="str">
        <x:v>Sharjah Business Angels Network</x:v>
      </x:c>
      <x:c r="C59" s="6" t="str">
        <x:v>شبكة مستثمرين ملائكيين</x:v>
      </x:c>
      <x:c r="D59" s="6" t="str">
        <x:v>الشارقة</x:v>
      </x:c>
      <x:c r="E59" s="6" t="str">
        <x:v>تقنية متعددة القطاعات</x:v>
      </x:c>
      <x:c r="F59" s="6" t="str">
        <x:v>مراحل مبكرة</x:v>
      </x:c>
      <x:c r="G59" s="6" t="str">
        <x:v>شبكة استثمار ملائكي</x:v>
      </x:c>
      <x:c r="H59" s="6" t="str">
        <x:v>استثمار الأعضاء</x:v>
      </x:c>
      <x:c r="I59" s="6" t="str">
        <x:v>غير متاح في المصادر المراجعة</x:v>
      </x:c>
      <x:c r="J59" s="6" t="str">
        <x:v>غير متاح في المصادر المراجعة</x:v>
      </x:c>
      <x:c r="K59" s="6" t="str">
        <x:v>نموذج / موقع الجهة</x:v>
      </x:c>
      <x:c r="L59" s="14" t="e">
        <x:f>HYPERLINK("https://srtip.ae","srtip.ae")</x:f>
        <x:v>HYPERLINK is not implemented. linkLocation=https://srtip.ae, friendlyName=srtip.ae</x:v>
      </x:c>
      <x:c r="M59" s="14" t="e">
        <x:f>HYPERLINK("https://srtip.ae/sharjah-business-angels-network/","srtip.ae")</x:f>
        <x:v>HYPERLINK is not implemented. linkLocation=https://srtip.ae/sharjah-business-angels-network/, friendlyName=srtip.ae</x:v>
      </x:c>
      <x:c r="N59" s="6" t="str">
        <x:v>ملاءمة القطاع والمرحلة والنطاق الجغرافي؛ تأكيد مباشر</x:v>
      </x:c>
      <x:c r="O59" s="6" t="str">
        <x:v>غير مؤكد؛ راجع القناة المنشورة</x:v>
      </x:c>
      <x:c r="P59" s="13" t="str">
        <x:v>لم يتم التواصل</x:v>
      </x:c>
      <x:c r="Q59" s="6" t="str">
        <x:v>تأكيد جهة الاتصال والملاءمة ثم طلب متطلبات التقديم</x:v>
      </x:c>
      <x:c r="R59" s="6" t="str">
        <x:v>مبادرة ضمن SRTI Park؛ قناة التواصل العامة للمجمع ليست مستثمراً منفرداً.</x:v>
      </x:c>
      <x:c r="S59" s="11" t="d">
        <x:v>2026-10-22T06:00:00.000Z</x:v>
      </x:c>
      <x:c r="T59" s="14" t="e">
        <x:f>HYPERLINK("https://srtip.ae/sharjah-business-angels-network/","srtip.ae")</x:f>
        <x:v>HYPERLINK is not implemented. linkLocation=https://srtip.ae/sharjah-business-angels-network/, friendlyName=srtip.ae</x:v>
      </x:c>
      <x:c r="U59" s="14" t="str">
        <x:v>غير متاح في المصادر المراجعة</x:v>
      </x:c>
      <x:c r="V59" s="14" t="str">
        <x:v>غير متاح في المصادر المراجعة</x:v>
      </x:c>
      <x:c r="W59" s="6" t="str">
        <x:v>غير متاح في المصادر المراجعة</x:v>
      </x:c>
      <x:c r="X59" s="6" t="str">
        <x:v>غير متاح في المصادر المراجعة</x:v>
      </x:c>
    </x:row>
    <x:row r="60" ht="45" customHeight="1">
      <x:c r="A60" s="10" t="str">
        <x:v>F055</x:v>
      </x:c>
      <x:c r="B60" s="6" t="str">
        <x:v>Spade Ventures</x:v>
      </x:c>
      <x:c r="C60" s="6" t="str">
        <x:v>نقابة مستثمرين ملائكيين</x:v>
      </x:c>
      <x:c r="D60" s="6" t="str">
        <x:v>الإمارات</x:v>
      </x:c>
      <x:c r="E60" s="6" t="str">
        <x:v>تقنية في MENAP</x:v>
      </x:c>
      <x:c r="F60" s="6" t="str">
        <x:v>مراحل مبكرة</x:v>
      </x:c>
      <x:c r="G60" s="6" t="str">
        <x:v>استثمار مجمع عبر SPV</x:v>
      </x:c>
      <x:c r="H60" s="6" t="str">
        <x:v>استثمار الأعضاء</x:v>
      </x:c>
      <x:c r="I60" s="6" t="str">
        <x:v>hello@spade.ventures</x:v>
      </x:c>
      <x:c r="J60" s="6" t="str">
        <x:v>غير متاح في المصادر المراجعة</x:v>
      </x:c>
      <x:c r="K60" s="6" t="str">
        <x:v>استفسارات عامة</x:v>
      </x:c>
      <x:c r="L60" s="14" t="e">
        <x:f>HYPERLINK("https://spade.ventures","spade.ventures")</x:f>
        <x:v>HYPERLINK is not implemented. linkLocation=https://spade.ventures, friendlyName=spade.ventures</x:v>
      </x:c>
      <x:c r="M60" s="14" t="e">
        <x:f>HYPERLINK("https://spade.ventures/","spade.ventures")</x:f>
        <x:v>HYPERLINK is not implemented. linkLocation=https://spade.ventures/, friendlyName=spade.ventures</x:v>
      </x:c>
      <x:c r="N60" s="6" t="str">
        <x:v>ملاءمة القطاع والمرحلة والنطاق الجغرافي؛ تأكيد مباشر</x:v>
      </x:c>
      <x:c r="O60" s="6" t="str">
        <x:v>غير مؤكد؛ راجع القناة المنشورة</x:v>
      </x:c>
      <x:c r="P60" s="13" t="str">
        <x:v>لم يتم التواصل</x:v>
      </x:c>
      <x:c r="Q60" s="6" t="str">
        <x:v>تأكيد جهة الاتصال والملاءمة ثم طلب متطلبات التقديم</x:v>
      </x:c>
      <x:c r="R60" s="6" t="str"/>
      <x:c r="S60" s="11" t="d">
        <x:v>2026-10-22T06:00:00.000Z</x:v>
      </x:c>
      <x:c r="T60" s="14" t="e">
        <x:f>HYPERLINK("https://spade.ventures/","spade.ventures")</x:f>
        <x:v>HYPERLINK is not implemented. linkLocation=https://spade.ventures/, friendlyName=spade.ventures</x:v>
      </x:c>
      <x:c r="U60" s="14" t="e">
        <x:f>HYPERLINK("https://spade.ventures/","spade.ventures")</x:f>
        <x:v>HYPERLINK is not implemented. linkLocation=https://spade.ventures/, friendlyName=spade.ventures</x:v>
      </x:c>
      <x:c r="V60" s="14" t="str">
        <x:v>غير متاح في المصادر المراجعة</x:v>
      </x:c>
      <x:c r="W60" s="6" t="str">
        <x:v>موقع الجهة أو قناة مرتبطة بها</x:v>
      </x:c>
      <x:c r="X60" s="6" t="str">
        <x:v>غير متاح في المصادر المراجعة</x:v>
      </x:c>
    </x:row>
    <x:row r="61" ht="45" customHeight="1">
      <x:c r="A61" s="10" t="str">
        <x:v>F056</x:v>
      </x:c>
      <x:c r="B61" s="6" t="str">
        <x:v>Hub71</x:v>
      </x:c>
      <x:c r="C61" s="6" t="str">
        <x:v>مسرعة وحوافز استثمارية</x:v>
      </x:c>
      <x:c r="D61" s="6" t="str">
        <x:v>أبوظبي</x:v>
      </x:c>
      <x:c r="E61" s="6" t="str">
        <x:v>تقنية متعددة القطاعات</x:v>
      </x:c>
      <x:c r="F61" s="6" t="str">
        <x:v>مراحل مبكرة</x:v>
      </x:c>
      <x:c r="G61" s="6" t="str">
        <x:v>حوافز وبرامج واستثمار بحسب المسار</x:v>
      </x:c>
      <x:c r="H61" s="6" t="str">
        <x:v>تمويل ودعم بحسب البرنامج</x:v>
      </x:c>
      <x:c r="I61" s="6" t="str">
        <x:v>info@hub71.com</x:v>
      </x:c>
      <x:c r="J61" s="6" t="str">
        <x:v>غير متاح في المصادر المراجعة</x:v>
      </x:c>
      <x:c r="K61" s="6" t="str">
        <x:v>استفسارات عامة</x:v>
      </x:c>
      <x:c r="L61" s="14" t="e">
        <x:f>HYPERLINK("https://hub71.com","hub71.com")</x:f>
        <x:v>HYPERLINK is not implemented. linkLocation=https://hub71.com, friendlyName=hub71.com</x:v>
      </x:c>
      <x:c r="M61" s="14" t="e">
        <x:f>HYPERLINK("https://www.hub71.com/contact","hub71.com")</x:f>
        <x:v>HYPERLINK is not implemented. linkLocation=https://www.hub71.com/contact, friendlyName=hub71.com</x:v>
      </x:c>
      <x:c r="N61" s="6" t="str">
        <x:v>بحسب الدورة والبرنامج ومرحلة الشركة</x:v>
      </x:c>
      <x:c r="O61" s="6" t="str">
        <x:v>غير مؤكد؛ راجع القناة المنشورة</x:v>
      </x:c>
      <x:c r="P61" s="13" t="str">
        <x:v>لم يتم التواصل</x:v>
      </x:c>
      <x:c r="Q61" s="6" t="str">
        <x:v>تأكيد جهة الاتصال والملاءمة ثم طلب متطلبات التقديم</x:v>
      </x:c>
      <x:c r="R61" s="6" t="str"/>
      <x:c r="S61" s="11" t="d">
        <x:v>2026-10-22T06:00:00.000Z</x:v>
      </x:c>
      <x:c r="T61" s="14" t="e">
        <x:f>HYPERLINK("https://www.hub71.com/contact","hub71.com")</x:f>
        <x:v>HYPERLINK is not implemented. linkLocation=https://www.hub71.com/contact, friendlyName=hub71.com</x:v>
      </x:c>
      <x:c r="U61" s="14" t="e">
        <x:f>HYPERLINK("https://www.hub71.com/index.php/program/hub71-plus-digital-assets/form-content","hub71.com")</x:f>
        <x:v>HYPERLINK is not implemented. linkLocation=https://www.hub71.com/index.php/program/hub71-plus-digital-assets/form-content, friendlyName=hub71.com</x:v>
      </x:c>
      <x:c r="V61" s="14" t="str">
        <x:v>غير متاح في المصادر المراجعة</x:v>
      </x:c>
      <x:c r="W61" s="6" t="str">
        <x:v>موقع الجهة أو قناة مرتبطة بها</x:v>
      </x:c>
      <x:c r="X61" s="6" t="str">
        <x:v>غير متاح في المصادر المراجعة</x:v>
      </x:c>
    </x:row>
    <x:row r="62" ht="45" customHeight="1">
      <x:c r="A62" s="10" t="str">
        <x:v>F057</x:v>
      </x:c>
      <x:c r="B62" s="6" t="str">
        <x:v>Sheraa</x:v>
      </x:c>
      <x:c r="C62" s="6" t="str">
        <x:v>حاضنة ومنح</x:v>
      </x:c>
      <x:c r="D62" s="6" t="str">
        <x:v>الشارقة</x:v>
      </x:c>
      <x:c r="E62" s="6" t="str">
        <x:v>تقنية وابتكار</x:v>
      </x:c>
      <x:c r="F62" s="6" t="str">
        <x:v>تأسيس ومراحل مبكرة</x:v>
      </x:c>
      <x:c r="G62" s="6" t="str">
        <x:v>احتضان وتحديات ومنح بحسب البرنامج</x:v>
      </x:c>
      <x:c r="H62" s="6" t="str">
        <x:v>دعم ومنح بحسب البرنامج</x:v>
      </x:c>
      <x:c r="I62" s="6" t="str">
        <x:v>info@sheraa.ae</x:v>
      </x:c>
      <x:c r="J62" s="6" t="str">
        <x:v>+971 6 509 4000</x:v>
      </x:c>
      <x:c r="K62" s="6" t="str">
        <x:v>استفسارات عامة</x:v>
      </x:c>
      <x:c r="L62" s="14" t="e">
        <x:f>HYPERLINK("https://sheraa.ae","sheraa.ae")</x:f>
        <x:v>HYPERLINK is not implemented. linkLocation=https://sheraa.ae, friendlyName=sheraa.ae</x:v>
      </x:c>
      <x:c r="M62" s="14" t="e">
        <x:f>HYPERLINK("https://www.sheraa.ae/contact-us","sheraa.ae")</x:f>
        <x:v>HYPERLINK is not implemented. linkLocation=https://www.sheraa.ae/contact-us, friendlyName=sheraa.ae</x:v>
      </x:c>
      <x:c r="N62" s="6" t="str">
        <x:v>بحسب الدورة والبرنامج ومرحلة الشركة</x:v>
      </x:c>
      <x:c r="O62" s="6" t="str">
        <x:v>غير مؤكد؛ راجع القناة المنشورة</x:v>
      </x:c>
      <x:c r="P62" s="13" t="str">
        <x:v>لم يتم التواصل</x:v>
      </x:c>
      <x:c r="Q62" s="6" t="str">
        <x:v>تأكيد جهة الاتصال والملاءمة ثم طلب متطلبات التقديم</x:v>
      </x:c>
      <x:c r="R62" s="6" t="str"/>
      <x:c r="S62" s="11" t="d">
        <x:v>2026-10-22T06:00:00.000Z</x:v>
      </x:c>
      <x:c r="T62" s="14" t="e">
        <x:f>HYPERLINK("https://www.sheraa.ae/contact-us","sheraa.ae")</x:f>
        <x:v>HYPERLINK is not implemented. linkLocation=https://www.sheraa.ae/contact-us, friendlyName=sheraa.ae</x:v>
      </x:c>
      <x:c r="U62" s="14" t="e">
        <x:f>HYPERLINK("https://sheraa.ae/meet-our-startups","sheraa.ae")</x:f>
        <x:v>HYPERLINK is not implemented. linkLocation=https://sheraa.ae/meet-our-startups, friendlyName=sheraa.ae</x:v>
      </x:c>
      <x:c r="V62" s="14" t="e">
        <x:f>HYPERLINK("https://www.sheraa.ae/contact-us","sheraa.ae")</x:f>
        <x:v>HYPERLINK is not implemented. linkLocation=https://www.sheraa.ae/contact-us, friendlyName=sheraa.ae</x:v>
      </x:c>
      <x:c r="W62" s="6" t="str">
        <x:v>موقع الجهة أو قناة مرتبطة بها</x:v>
      </x:c>
      <x:c r="X62" s="6" t="str">
        <x:v>موقع الجهة أو قناة مرتبطة بها</x:v>
      </x:c>
    </x:row>
    <x:row r="63" ht="45" customHeight="1">
      <x:c r="A63" s="10" t="str">
        <x:v>F058</x:v>
      </x:c>
      <x:c r="B63" s="6" t="str">
        <x:v>in5</x:v>
      </x:c>
      <x:c r="C63" s="6" t="str">
        <x:v>حاضنة</x:v>
      </x:c>
      <x:c r="D63" s="6" t="str">
        <x:v>دبي</x:v>
      </x:c>
      <x:c r="E63" s="6" t="str">
        <x:v>تقنية وإعلام وتصميم وعلوم</x:v>
      </x:c>
      <x:c r="F63" s="6" t="str">
        <x:v>تأسيس ومراحل مبكرة</x:v>
      </x:c>
      <x:c r="G63" s="6" t="str">
        <x:v>احتضان وخدمات وربط بالمستثمرين</x:v>
      </x:c>
      <x:c r="H63" s="6" t="str">
        <x:v>لا يثبت تمويلًا مباشرًا</x:v>
      </x:c>
      <x:c r="I63" s="6" t="str">
        <x:v>info@in5.ae</x:v>
      </x:c>
      <x:c r="J63" s="6" t="str">
        <x:v>800 2465</x:v>
      </x:c>
      <x:c r="K63" s="6" t="str">
        <x:v>استفسارات عامة</x:v>
      </x:c>
      <x:c r="L63" s="14" t="e">
        <x:f>HYPERLINK("https://infive.ae","infive.ae")</x:f>
        <x:v>HYPERLINK is not implemented. linkLocation=https://infive.ae, friendlyName=infive.ae</x:v>
      </x:c>
      <x:c r="M63" s="14" t="e">
        <x:f>HYPERLINK("https://dic.ae/offerings/in5-centres","dic.ae")</x:f>
        <x:v>HYPERLINK is not implemented. linkLocation=https://dic.ae/offerings/in5-centres, friendlyName=dic.ae</x:v>
      </x:c>
      <x:c r="N63" s="6" t="str">
        <x:v>بحسب الدورة والبرنامج ومرحلة الشركة</x:v>
      </x:c>
      <x:c r="O63" s="6" t="str">
        <x:v>غير مؤكد؛ راجع القناة المنشورة</x:v>
      </x:c>
      <x:c r="P63" s="13" t="str">
        <x:v>لم يتم التواصل</x:v>
      </x:c>
      <x:c r="Q63" s="6" t="str">
        <x:v>تأكيد جهة الاتصال والملاءمة ثم طلب متطلبات التقديم</x:v>
      </x:c>
      <x:c r="R63" s="6" t="str"/>
      <x:c r="S63" s="11" t="d">
        <x:v>2026-10-22T06:00:00.000Z</x:v>
      </x:c>
      <x:c r="T63" s="14" t="e">
        <x:f>HYPERLINK("https://dic.ae/offerings/in5-centres","dic.ae")</x:f>
        <x:v>HYPERLINK is not implemented. linkLocation=https://dic.ae/offerings/in5-centres, friendlyName=dic.ae</x:v>
      </x:c>
      <x:c r="U63" s="14" t="e">
        <x:f>HYPERLINK("https://dic.ae/offerings/in5-centres","dic.ae")</x:f>
        <x:v>HYPERLINK is not implemented. linkLocation=https://dic.ae/offerings/in5-centres, friendlyName=dic.ae</x:v>
      </x:c>
      <x:c r="V63" s="14" t="e">
        <x:f>HYPERLINK("https://dic.ae/offerings/in5-centres","dic.ae")</x:f>
        <x:v>HYPERLINK is not implemented. linkLocation=https://dic.ae/offerings/in5-centres, friendlyName=dic.ae</x:v>
      </x:c>
      <x:c r="W63" s="6" t="str">
        <x:v>موقع الجهة أو قناة مرتبطة بها</x:v>
      </x:c>
      <x:c r="X63" s="6" t="str">
        <x:v>موقع الجهة أو قناة مرتبطة بها</x:v>
      </x:c>
    </x:row>
    <x:row r="64" ht="45" customHeight="1">
      <x:c r="A64" s="10" t="str">
        <x:v>F059</x:v>
      </x:c>
      <x:c r="B64" s="6" t="str">
        <x:v>Intelak</x:v>
      </x:c>
      <x:c r="C64" s="6" t="str">
        <x:v>حاضنة ومنح</x:v>
      </x:c>
      <x:c r="D64" s="6" t="str">
        <x:v>دبي</x:v>
      </x:c>
      <x:c r="E64" s="6" t="str">
        <x:v>طيران وسفر وسياحة</x:v>
      </x:c>
      <x:c r="F64" s="6" t="str">
        <x:v>مبكرة وتسريع</x:v>
      </x:c>
      <x:c r="G64" s="6" t="str">
        <x:v>احتضان ومنح بحسب البرنامج</x:v>
      </x:c>
      <x:c r="H64" s="6" t="str">
        <x:v>دعم ومنح بحسب الدورة</x:v>
      </x:c>
      <x:c r="I64" s="6" t="str">
        <x:v>info@intelak.com</x:v>
      </x:c>
      <x:c r="J64" s="6" t="str">
        <x:v>غير متاح في المصادر المراجعة</x:v>
      </x:c>
      <x:c r="K64" s="6" t="str">
        <x:v>استفسارات عامة</x:v>
      </x:c>
      <x:c r="L64" s="14" t="e">
        <x:f>HYPERLINK("https://intelak.com","intelak.com")</x:f>
        <x:v>HYPERLINK is not implemented. linkLocation=https://intelak.com, friendlyName=intelak.com</x:v>
      </x:c>
      <x:c r="M64" s="14" t="e">
        <x:f>HYPERLINK("https://intelak.com/contact-us/","intelak.com")</x:f>
        <x:v>HYPERLINK is not implemented. linkLocation=https://intelak.com/contact-us/, friendlyName=intelak.com</x:v>
      </x:c>
      <x:c r="N64" s="6" t="str">
        <x:v>بحسب الدورة والبرنامج ومرحلة الشركة</x:v>
      </x:c>
      <x:c r="O64" s="6" t="str">
        <x:v>غير مؤكد؛ راجع القناة المنشورة</x:v>
      </x:c>
      <x:c r="P64" s="13" t="str">
        <x:v>لم يتم التواصل</x:v>
      </x:c>
      <x:c r="Q64" s="6" t="str">
        <x:v>تأكيد جهة الاتصال والملاءمة ثم طلب متطلبات التقديم</x:v>
      </x:c>
      <x:c r="R64" s="6" t="str"/>
      <x:c r="S64" s="11" t="d">
        <x:v>2026-10-22T06:00:00.000Z</x:v>
      </x:c>
      <x:c r="T64" s="14" t="e">
        <x:f>HYPERLINK("https://intelak.com/about-us/","intelak.com")</x:f>
        <x:v>HYPERLINK is not implemented. linkLocation=https://intelak.com/about-us/, friendlyName=intelak.com</x:v>
      </x:c>
      <x:c r="U64" s="14" t="e">
        <x:f>HYPERLINK("https://mindmaps.ai-ecosystem.org/profile-view/firm/632405290/","mindmaps.ai-ecosystem.org")</x:f>
        <x:v>HYPERLINK is not implemented. linkLocation=https://mindmaps.ai-ecosystem.org/profile-view/firm/632405290/, friendlyName=mindmaps.ai-ecosystem.org</x:v>
      </x:c>
      <x:c r="V64" s="14" t="str">
        <x:v>غير متاح في المصادر المراجعة</x:v>
      </x:c>
      <x:c r="W64" s="6" t="str">
        <x:v>مصدر ثانوي؛ يلزم تأكيد مباشر</x:v>
      </x:c>
      <x:c r="X64" s="6" t="str">
        <x:v>غير متاح في المصادر المراجعة</x:v>
      </x:c>
    </x:row>
    <x:row r="65" ht="45" customHeight="1">
      <x:c r="A65" s="10" t="str">
        <x:v>F060</x:v>
      </x:c>
      <x:c r="B65" s="6" t="str">
        <x:v>Catalyst</x:v>
      </x:c>
      <x:c r="C65" s="6" t="str">
        <x:v>مسرعة واستثمار</x:v>
      </x:c>
      <x:c r="D65" s="6" t="str">
        <x:v>أبوظبي</x:v>
      </x:c>
      <x:c r="E65" s="6" t="str">
        <x:v>تقنيات نظيفة واستدامة</x:v>
      </x:c>
      <x:c r="F65" s="6" t="str">
        <x:v>Pre-Seed وSeed</x:v>
      </x:c>
      <x:c r="G65" s="6" t="str">
        <x:v>تسريع واستثمار</x:v>
      </x:c>
      <x:c r="H65" s="6" t="str">
        <x:v>تمويل ودعم بحسب البرنامج</x:v>
      </x:c>
      <x:c r="I65" s="6" t="str">
        <x:v>غير متاح في المصادر المراجعة</x:v>
      </x:c>
      <x:c r="J65" s="6" t="str">
        <x:v>+971 2 653 7242</x:v>
      </x:c>
      <x:c r="K65" s="6" t="str">
        <x:v>نموذج / موقع الجهة</x:v>
      </x:c>
      <x:c r="L65" s="14" t="e">
        <x:f>HYPERLINK("https://catalyst.ae","catalyst.ae")</x:f>
        <x:v>HYPERLINK is not implemented. linkLocation=https://catalyst.ae, friendlyName=catalyst.ae</x:v>
      </x:c>
      <x:c r="M65" s="14" t="e">
        <x:f>HYPERLINK("https://catalyst.ae/contact-us","catalyst.ae")</x:f>
        <x:v>HYPERLINK is not implemented. linkLocation=https://catalyst.ae/contact-us, friendlyName=catalyst.ae</x:v>
      </x:c>
      <x:c r="N65" s="6" t="str">
        <x:v>بحسب الدورة والبرنامج ومرحلة الشركة</x:v>
      </x:c>
      <x:c r="O65" s="6" t="str">
        <x:v>غير مؤكد؛ راجع القناة المنشورة</x:v>
      </x:c>
      <x:c r="P65" s="13" t="str">
        <x:v>لم يتم التواصل</x:v>
      </x:c>
      <x:c r="Q65" s="6" t="str">
        <x:v>تأكيد جهة الاتصال والملاءمة ثم طلب متطلبات التقديم</x:v>
      </x:c>
      <x:c r="R65" s="6" t="str"/>
      <x:c r="S65" s="11" t="d">
        <x:v>2026-10-22T06:00:00.000Z</x:v>
      </x:c>
      <x:c r="T65" s="14" t="e">
        <x:f>HYPERLINK("https://catalyst.ae/contact-us","catalyst.ae")</x:f>
        <x:v>HYPERLINK is not implemented. linkLocation=https://catalyst.ae/contact-us, friendlyName=catalyst.ae</x:v>
      </x:c>
      <x:c r="U65" s="14" t="str">
        <x:v>غير متاح في المصادر المراجعة</x:v>
      </x:c>
      <x:c r="V65" s="14" t="e">
        <x:f>HYPERLINK("https://catalyst.ae/contact-us","catalyst.ae")</x:f>
        <x:v>HYPERLINK is not implemented. linkLocation=https://catalyst.ae/contact-us, friendlyName=catalyst.ae</x:v>
      </x:c>
      <x:c r="W65" s="6" t="str">
        <x:v>غير متاح في المصادر المراجعة</x:v>
      </x:c>
      <x:c r="X65" s="6" t="str">
        <x:v>موقع الجهة أو قناة مرتبطة بها</x:v>
      </x:c>
    </x:row>
    <x:row r="66" ht="45" customHeight="1">
      <x:c r="A66" s="10" t="str">
        <x:v>F061</x:v>
      </x:c>
      <x:c r="B66" s="6" t="str">
        <x:v>startAD</x:v>
      </x:c>
      <x:c r="C66" s="6" t="str">
        <x:v>مسرعة وربط تجاري</x:v>
      </x:c>
      <x:c r="D66" s="6" t="str">
        <x:v>أبوظبي</x:v>
      </x:c>
      <x:c r="E66" s="6" t="str">
        <x:v>ابتكار وربط بالشركات</x:v>
      </x:c>
      <x:c r="F66" s="6" t="str">
        <x:v>حسب البرنامج</x:v>
      </x:c>
      <x:c r="G66" s="6" t="str">
        <x:v>تسريع وتجارب تجارية وربط</x:v>
      </x:c>
      <x:c r="H66" s="6" t="str">
        <x:v>لا يستثمر مباشرة</x:v>
      </x:c>
      <x:c r="I66" s="6" t="str">
        <x:v>startad@nyu.edu</x:v>
      </x:c>
      <x:c r="J66" s="6" t="str">
        <x:v>غير متاح في المصادر المراجعة</x:v>
      </x:c>
      <x:c r="K66" s="6" t="str">
        <x:v>استفسارات عامة</x:v>
      </x:c>
      <x:c r="L66" s="14" t="e">
        <x:f>HYPERLINK("https://startad.ae","startad.ae")</x:f>
        <x:v>HYPERLINK is not implemented. linkLocation=https://startad.ae, friendlyName=startad.ae</x:v>
      </x:c>
      <x:c r="M66" s="14" t="e">
        <x:f>HYPERLINK("https://startad.ae/contact/","startad.ae")</x:f>
        <x:v>HYPERLINK is not implemented. linkLocation=https://startad.ae/contact/, friendlyName=startad.ae</x:v>
      </x:c>
      <x:c r="N66" s="6" t="str">
        <x:v>بحسب الدورة والبرنامج ومرحلة الشركة</x:v>
      </x:c>
      <x:c r="O66" s="6" t="str">
        <x:v>غير مؤكد؛ راجع القناة المنشورة</x:v>
      </x:c>
      <x:c r="P66" s="13" t="str">
        <x:v>لم يتم التواصل</x:v>
      </x:c>
      <x:c r="Q66" s="6" t="str">
        <x:v>تأكيد جهة الاتصال والملاءمة ثم طلب متطلبات التقديم</x:v>
      </x:c>
      <x:c r="R66" s="6" t="str"/>
      <x:c r="S66" s="11" t="d">
        <x:v>2026-10-22T06:00:00.000Z</x:v>
      </x:c>
      <x:c r="T66" s="14" t="e">
        <x:f>HYPERLINK("https://startad.ae/contact/","startad.ae")</x:f>
        <x:v>HYPERLINK is not implemented. linkLocation=https://startad.ae/contact/, friendlyName=startad.ae</x:v>
      </x:c>
      <x:c r="U66" s="14" t="e">
        <x:f>HYPERLINK("https://startad.ae/contact/","startad.ae")</x:f>
        <x:v>HYPERLINK is not implemented. linkLocation=https://startad.ae/contact/, friendlyName=startad.ae</x:v>
      </x:c>
      <x:c r="V66" s="14" t="str">
        <x:v>غير متاح في المصادر المراجعة</x:v>
      </x:c>
      <x:c r="W66" s="6" t="str">
        <x:v>موقع الجهة أو قناة مرتبطة بها</x:v>
      </x:c>
      <x:c r="X66" s="6" t="str">
        <x:v>غير متاح في المصادر المراجعة</x:v>
      </x:c>
    </x:row>
    <x:row r="67" ht="45" customHeight="1">
      <x:c r="A67" s="10" t="str">
        <x:v>F062</x:v>
      </x:c>
      <x:c r="B67" s="6" t="str">
        <x:v>Plug and Play Abu Dhabi</x:v>
      </x:c>
      <x:c r="C67" s="6" t="str">
        <x:v>مسرعة واستثمار</x:v>
      </x:c>
      <x:c r="D67" s="6" t="str">
        <x:v>أبوظبي</x:v>
      </x:c>
      <x:c r="E67" s="6" t="str">
        <x:v>تقنية متعددة القطاعات</x:v>
      </x:c>
      <x:c r="F67" s="6" t="str">
        <x:v>حسب البرنامج</x:v>
      </x:c>
      <x:c r="G67" s="6" t="str">
        <x:v>تسريع وربط واستثمار محتمل</x:v>
      </x:c>
      <x:c r="H67" s="6" t="str">
        <x:v>استثمار منفصل عن القبول بالبرنامج</x:v>
      </x:c>
      <x:c r="I67" s="6" t="str">
        <x:v>غير متاح في المصادر المراجعة</x:v>
      </x:c>
      <x:c r="J67" s="6" t="str">
        <x:v>غير متاح في المصادر المراجعة</x:v>
      </x:c>
      <x:c r="K67" s="6" t="str">
        <x:v>نموذج / موقع الجهة</x:v>
      </x:c>
      <x:c r="L67" s="14" t="e">
        <x:f>HYPERLINK("https://plugandplaytechcenter.com","plugandplaytechcenter.com")</x:f>
        <x:v>HYPERLINK is not implemented. linkLocation=https://plugandplaytechcenter.com, friendlyName=plugandplaytechcenter.com</x:v>
      </x:c>
      <x:c r="M67" s="14" t="e">
        <x:f>HYPERLINK("https://welcome.plugandplaytechcenter.com/innovation-smart-future-contact-us","welcome.plugandplaytechcenter.com")</x:f>
        <x:v>HYPERLINK is not implemented. linkLocation=https://welcome.plugandplaytechcenter.com/innovation-smart-future-contact-us, friendlyName=welcome.plugandplaytechcenter.com</x:v>
      </x:c>
      <x:c r="N67" s="6" t="str">
        <x:v>بحسب الدورة والبرنامج ومرحلة الشركة</x:v>
      </x:c>
      <x:c r="O67" s="6" t="str">
        <x:v>غير مؤكد؛ راجع القناة المنشورة</x:v>
      </x:c>
      <x:c r="P67" s="13" t="str">
        <x:v>لم يتم التواصل</x:v>
      </x:c>
      <x:c r="Q67" s="6" t="str">
        <x:v>تأكيد جهة الاتصال والملاءمة ثم طلب متطلبات التقديم</x:v>
      </x:c>
      <x:c r="R67" s="6" t="str"/>
      <x:c r="S67" s="11" t="d">
        <x:v>2026-10-22T06:00:00.000Z</x:v>
      </x:c>
      <x:c r="T67" s="14" t="e">
        <x:f>HYPERLINK("https://welcome.plugandplaytechcenter.com/hubfs/Plug%20and%20Play%20Media%20Kit.pdf","welcome.plugandplaytechcenter.com")</x:f>
        <x:v>HYPERLINK is not implemented. linkLocation=https://welcome.plugandplaytechcenter.com/hubfs/Plug%20and%20Play%20Media%20Kit.pdf, friendlyName=welcome.plugandplaytechcenter.com</x:v>
      </x:c>
      <x:c r="U67" s="14" t="str">
        <x:v>غير متاح في المصادر المراجعة</x:v>
      </x:c>
      <x:c r="V67" s="14" t="str">
        <x:v>غير متاح في المصادر المراجعة</x:v>
      </x:c>
      <x:c r="W67" s="6" t="str">
        <x:v>غير متاح في المصادر المراجعة</x:v>
      </x:c>
      <x:c r="X67" s="6" t="str">
        <x:v>غير متاح في المصادر المراجعة</x:v>
      </x:c>
    </x:row>
    <x:row r="68" ht="45" customHeight="1">
      <x:c r="A68" s="10" t="str">
        <x:v>F063</x:v>
      </x:c>
      <x:c r="B68" s="6" t="str">
        <x:v>Antler MENAP</x:v>
      </x:c>
      <x:c r="C68" s="6" t="str">
        <x:v>مسرعة واستثمار</x:v>
      </x:c>
      <x:c r="D68" s="6" t="str">
        <x:v>دبي</x:v>
      </x:c>
      <x:c r="E68" s="6" t="str">
        <x:v>تقنية متعددة القطاعات</x:v>
      </x:c>
      <x:c r="F68" s="6" t="str">
        <x:v>ما قبل التأسيس ومراحل مبكرة</x:v>
      </x:c>
      <x:c r="G68" s="6" t="str">
        <x:v>بناء فريق واستثمار</x:v>
      </x:c>
      <x:c r="H68" s="6" t="str">
        <x:v>تمويل ودعم بحسب الاختيار</x:v>
      </x:c>
      <x:c r="I68" s="6" t="str">
        <x:v>غير متاح في المصادر المراجعة</x:v>
      </x:c>
      <x:c r="J68" s="6" t="str">
        <x:v>غير متاح في المصادر المراجعة</x:v>
      </x:c>
      <x:c r="K68" s="6" t="str">
        <x:v>نموذج / موقع الجهة</x:v>
      </x:c>
      <x:c r="L68" s="14" t="e">
        <x:f>HYPERLINK("https://antler.co","antler.co")</x:f>
        <x:v>HYPERLINK is not implemented. linkLocation=https://antler.co, friendlyName=antler.co</x:v>
      </x:c>
      <x:c r="M68" s="14" t="e">
        <x:f>HYPERLINK("https://www.antler.co/location/menap","antler.co")</x:f>
        <x:v>HYPERLINK is not implemented. linkLocation=https://www.antler.co/location/menap, friendlyName=antler.co</x:v>
      </x:c>
      <x:c r="N68" s="6" t="str">
        <x:v>بحسب الدورة والبرنامج ومرحلة الشركة</x:v>
      </x:c>
      <x:c r="O68" s="6" t="str">
        <x:v>غير مؤكد؛ راجع القناة المنشورة</x:v>
      </x:c>
      <x:c r="P68" s="13" t="str">
        <x:v>لم يتم التواصل</x:v>
      </x:c>
      <x:c r="Q68" s="6" t="str">
        <x:v>تأكيد جهة الاتصال والملاءمة ثم طلب متطلبات التقديم</x:v>
      </x:c>
      <x:c r="R68" s="6" t="str"/>
      <x:c r="S68" s="11" t="d">
        <x:v>2026-10-22T06:00:00.000Z</x:v>
      </x:c>
      <x:c r="T68" s="14" t="e">
        <x:f>HYPERLINK("https://www.antler.co/location/menap","antler.co")</x:f>
        <x:v>HYPERLINK is not implemented. linkLocation=https://www.antler.co/location/menap, friendlyName=antler.co</x:v>
      </x:c>
      <x:c r="U68" s="14" t="str">
        <x:v>غير متاح في المصادر المراجعة</x:v>
      </x:c>
      <x:c r="V68" s="14" t="str">
        <x:v>غير متاح في المصادر المراجعة</x:v>
      </x:c>
      <x:c r="W68" s="6" t="str">
        <x:v>غير متاح في المصادر المراجعة</x:v>
      </x:c>
      <x:c r="X68" s="6" t="str">
        <x:v>غير متاح في المصادر المراجعة</x:v>
      </x:c>
    </x:row>
    <x:row r="69" ht="45" customHeight="1">
      <x:c r="A69" s="10" t="str">
        <x:v>F064</x:v>
      </x:c>
      <x:c r="B69" s="6" t="str">
        <x:v>Flat6Labs</x:v>
      </x:c>
      <x:c r="C69" s="6" t="str">
        <x:v>مسرعة واستثمار</x:v>
      </x:c>
      <x:c r="D69" s="6" t="str">
        <x:v>أبوظبي / برامج بالإمارات</x:v>
      </x:c>
      <x:c r="E69" s="6" t="str">
        <x:v>تقنية متعددة القطاعات</x:v>
      </x:c>
      <x:c r="F69" s="6" t="str">
        <x:v>مراحل مبكرة</x:v>
      </x:c>
      <x:c r="G69" s="6" t="str">
        <x:v>تسريع واستثمار</x:v>
      </x:c>
      <x:c r="H69" s="6" t="str">
        <x:v>تمويل بحسب البرنامج</x:v>
      </x:c>
      <x:c r="I69" s="6" t="str">
        <x:v>info@flat6labs.com</x:v>
      </x:c>
      <x:c r="J69" s="6" t="str">
        <x:v>غير متاح في المصادر المراجعة</x:v>
      </x:c>
      <x:c r="K69" s="6" t="str">
        <x:v>استفسارات عامة</x:v>
      </x:c>
      <x:c r="L69" s="14" t="e">
        <x:f>HYPERLINK("https://flat6labs.com","flat6labs.com")</x:f>
        <x:v>HYPERLINK is not implemented. linkLocation=https://flat6labs.com, friendlyName=flat6labs.com</x:v>
      </x:c>
      <x:c r="M69" s="14" t="e">
        <x:f>HYPERLINK("https://flat6labs.com/ar/contact-us/","flat6labs.com")</x:f>
        <x:v>HYPERLINK is not implemented. linkLocation=https://flat6labs.com/ar/contact-us/, friendlyName=flat6labs.com</x:v>
      </x:c>
      <x:c r="N69" s="6" t="str">
        <x:v>بحسب الدورة والبرنامج ومرحلة الشركة</x:v>
      </x:c>
      <x:c r="O69" s="6" t="str">
        <x:v>غير مؤكد؛ راجع القناة المنشورة</x:v>
      </x:c>
      <x:c r="P69" s="13" t="str">
        <x:v>لم يتم التواصل</x:v>
      </x:c>
      <x:c r="Q69" s="6" t="str">
        <x:v>تأكيد جهة الاتصال والملاءمة ثم طلب متطلبات التقديم</x:v>
      </x:c>
      <x:c r="R69" s="6" t="str"/>
      <x:c r="S69" s="11" t="d">
        <x:v>2026-10-22T06:00:00.000Z</x:v>
      </x:c>
      <x:c r="T69" s="14" t="e">
        <x:f>HYPERLINK("https://flat6labs.com/stay-connected/","flat6labs.com")</x:f>
        <x:v>HYPERLINK is not implemented. linkLocation=https://flat6labs.com/stay-connected/, friendlyName=flat6labs.com</x:v>
      </x:c>
      <x:c r="U69" s="14" t="e">
        <x:f>HYPERLINK("https://flat6labs.com/stay-connected/","flat6labs.com")</x:f>
        <x:v>HYPERLINK is not implemented. linkLocation=https://flat6labs.com/stay-connected/, friendlyName=flat6labs.com</x:v>
      </x:c>
      <x:c r="V69" s="14" t="str">
        <x:v>غير متاح في المصادر المراجعة</x:v>
      </x:c>
      <x:c r="W69" s="6" t="str">
        <x:v>موقع الجهة أو قناة مرتبطة بها</x:v>
      </x:c>
      <x:c r="X69" s="6" t="str">
        <x:v>غير متاح في المصادر المراجعة</x:v>
      </x:c>
    </x:row>
    <x:row r="70" ht="45" customHeight="1">
      <x:c r="A70" s="10" t="str">
        <x:v>F065</x:v>
      </x:c>
      <x:c r="B70" s="6" t="str">
        <x:v>FasterCapital</x:v>
      </x:c>
      <x:c r="C70" s="6" t="str">
        <x:v>حاضنة وربط استثماري</x:v>
      </x:c>
      <x:c r="D70" s="6" t="str">
        <x:v>دبي</x:v>
      </x:c>
      <x:c r="E70" s="6" t="str">
        <x:v>تقنية متعددة القطاعات</x:v>
      </x:c>
      <x:c r="F70" s="6" t="str">
        <x:v>تأسيس ومراحل مبكرة</x:v>
      </x:c>
      <x:c r="G70" s="6" t="str">
        <x:v>بناء مشاريع وربط بالتمويل</x:v>
      </x:c>
      <x:c r="H70" s="6" t="str">
        <x:v>تحقق من شروط الخدمة والمساهمة</x:v>
      </x:c>
      <x:c r="I70" s="6" t="str">
        <x:v>contact@fastercapital.com</x:v>
      </x:c>
      <x:c r="J70" s="6" t="str">
        <x:v>غير متاح في المصادر المراجعة</x:v>
      </x:c>
      <x:c r="K70" s="6" t="str">
        <x:v>استفسارات عامة</x:v>
      </x:c>
      <x:c r="L70" s="14" t="e">
        <x:f>HYPERLINK("https://fastercapital.com","fastercapital.com")</x:f>
        <x:v>HYPERLINK is not implemented. linkLocation=https://fastercapital.com, friendlyName=fastercapital.com</x:v>
      </x:c>
      <x:c r="M70" s="14" t="e">
        <x:f>HYPERLINK("https://fastercapital.com/contact.html","fastercapital.com")</x:f>
        <x:v>HYPERLINK is not implemented. linkLocation=https://fastercapital.com/contact.html, friendlyName=fastercapital.com</x:v>
      </x:c>
      <x:c r="N70" s="6" t="str">
        <x:v>بحسب الدورة والبرنامج ومرحلة الشركة</x:v>
      </x:c>
      <x:c r="O70" s="6" t="str">
        <x:v>غير مؤكد؛ راجع القناة المنشورة</x:v>
      </x:c>
      <x:c r="P70" s="13" t="str">
        <x:v>لم يتم التواصل</x:v>
      </x:c>
      <x:c r="Q70" s="6" t="str">
        <x:v>تأكيد جهة الاتصال والملاءمة ثم طلب متطلبات التقديم</x:v>
      </x:c>
      <x:c r="R70" s="6" t="str">
        <x:v>تحقق من الرسوم والمساهمة المطلوبة ونوع الدعم قبل الالتزام.</x:v>
      </x:c>
      <x:c r="S70" s="11" t="d">
        <x:v>2026-10-22T06:00:00.000Z</x:v>
      </x:c>
      <x:c r="T70" s="14" t="e">
        <x:f>HYPERLINK("https://fastercapital.com/contact.html","fastercapital.com")</x:f>
        <x:v>HYPERLINK is not implemented. linkLocation=https://fastercapital.com/contact.html, friendlyName=fastercapital.com</x:v>
      </x:c>
      <x:c r="U70" s="14" t="e">
        <x:f>HYPERLINK("https://fastercapital.com/contact.html","fastercapital.com")</x:f>
        <x:v>HYPERLINK is not implemented. linkLocation=https://fastercapital.com/contact.html, friendlyName=fastercapital.com</x:v>
      </x:c>
      <x:c r="V70" s="14" t="str">
        <x:v>غير متاح في المصادر المراجعة</x:v>
      </x:c>
      <x:c r="W70" s="6" t="str">
        <x:v>موقع الجهة أو قناة مرتبطة بها</x:v>
      </x:c>
      <x:c r="X70" s="6" t="str">
        <x:v>غير متاح في المصادر المراجعة</x:v>
      </x:c>
    </x:row>
    <x:row r="71" ht="45" customHeight="1">
      <x:c r="A71" s="10" t="str">
        <x:v>F066</x:v>
      </x:c>
      <x:c r="B71" s="6" t="str">
        <x:v>Dtec</x:v>
      </x:c>
      <x:c r="C71" s="6" t="str">
        <x:v>حاضنة واستثمار</x:v>
      </x:c>
      <x:c r="D71" s="6" t="str">
        <x:v>دبي</x:v>
      </x:c>
      <x:c r="E71" s="6" t="str">
        <x:v>تقنية متعددة القطاعات</x:v>
      </x:c>
      <x:c r="F71" s="6" t="str">
        <x:v>تأسيس ومراحل مبكرة</x:v>
      </x:c>
      <x:c r="G71" s="6" t="str">
        <x:v>احتضان وربط استثماري</x:v>
      </x:c>
      <x:c r="H71" s="6" t="str">
        <x:v>الخدمات لا تعني استثمارًا تلقائيًا</x:v>
      </x:c>
      <x:c r="I71" s="6" t="str">
        <x:v>dtec.sales@dtec.ae</x:v>
      </x:c>
      <x:c r="J71" s="6" t="str">
        <x:v>+971 4 501 5791</x:v>
      </x:c>
      <x:c r="K71" s="6" t="str">
        <x:v>أعمال / مبيعات / تمويل</x:v>
      </x:c>
      <x:c r="L71" s="14" t="e">
        <x:f>HYPERLINK("https://dtec.ae","dtec.ae")</x:f>
        <x:v>HYPERLINK is not implemented. linkLocation=https://dtec.ae, friendlyName=dtec.ae</x:v>
      </x:c>
      <x:c r="M71" s="14" t="e">
        <x:f>HYPERLINK("https://dtec.ae/contact/","dtec.ae")</x:f>
        <x:v>HYPERLINK is not implemented. linkLocation=https://dtec.ae/contact/, friendlyName=dtec.ae</x:v>
      </x:c>
      <x:c r="N71" s="6" t="str">
        <x:v>بحسب الدورة والبرنامج ومرحلة الشركة</x:v>
      </x:c>
      <x:c r="O71" s="6" t="str">
        <x:v>غير مؤكد؛ راجع القناة المنشورة</x:v>
      </x:c>
      <x:c r="P71" s="13" t="str">
        <x:v>لم يتم التواصل</x:v>
      </x:c>
      <x:c r="Q71" s="6" t="str">
        <x:v>تأكيد جهة الاتصال والملاءمة ثم طلب متطلبات التقديم</x:v>
      </x:c>
      <x:c r="R71" s="6" t="str">
        <x:v>خدمات الحاضنة منفصلة عن قرار الاستثمار؛ تحقق من القناة الحالية بعد إطلاق Oraseya.</x:v>
      </x:c>
      <x:c r="S71" s="11" t="d">
        <x:v>2026-10-22T06:00:00.000Z</x:v>
      </x:c>
      <x:c r="T71" s="14" t="e">
        <x:f>HYPERLINK("https://dtec.ae/contact/","dtec.ae")</x:f>
        <x:v>HYPERLINK is not implemented. linkLocation=https://dtec.ae/contact/, friendlyName=dtec.ae</x:v>
      </x:c>
      <x:c r="U71" s="14" t="e">
        <x:f>HYPERLINK("https://dtec.ae/contact/","dtec.ae")</x:f>
        <x:v>HYPERLINK is not implemented. linkLocation=https://dtec.ae/contact/, friendlyName=dtec.ae</x:v>
      </x:c>
      <x:c r="V71" s="14" t="e">
        <x:f>HYPERLINK("https://dtec.ae/contact/","dtec.ae")</x:f>
        <x:v>HYPERLINK is not implemented. linkLocation=https://dtec.ae/contact/, friendlyName=dtec.ae</x:v>
      </x:c>
      <x:c r="W71" s="6" t="str">
        <x:v>موقع الجهة أو قناة مرتبطة بها</x:v>
      </x:c>
      <x:c r="X71" s="6" t="str">
        <x:v>موقع الجهة أو قناة مرتبطة بها</x:v>
      </x:c>
    </x:row>
    <x:row r="72" ht="45" customHeight="1">
      <x:c r="A72" s="10" t="str">
        <x:v>F067</x:v>
      </x:c>
      <x:c r="B72" s="6" t="str">
        <x:v>DIFC Innovation Hub</x:v>
      </x:c>
      <x:c r="C72" s="6" t="str">
        <x:v>حاضنة وربط استثماري</x:v>
      </x:c>
      <x:c r="D72" s="6" t="str">
        <x:v>دبي</x:v>
      </x:c>
      <x:c r="E72" s="6" t="str">
        <x:v>تقنية مالية وذكاء اصطناعي</x:v>
      </x:c>
      <x:c r="F72" s="6" t="str">
        <x:v>تأسيس ونمو</x:v>
      </x:c>
      <x:c r="G72" s="6" t="str">
        <x:v>احتضان وربط وتراخيص</x:v>
      </x:c>
      <x:c r="H72" s="6" t="str">
        <x:v>لا يثبت تمويلًا مباشرًا</x:v>
      </x:c>
      <x:c r="I72" s="6" t="str">
        <x:v>bdfintech@difc.ae</x:v>
      </x:c>
      <x:c r="J72" s="6" t="str">
        <x:v>غير متاح في المصادر المراجعة</x:v>
      </x:c>
      <x:c r="K72" s="6" t="str">
        <x:v>استفسارات عامة</x:v>
      </x:c>
      <x:c r="L72" s="14" t="e">
        <x:f>HYPERLINK("https://innovationhub.difc.ae","innovationhub.difc.ae")</x:f>
        <x:v>HYPERLINK is not implemented. linkLocation=https://innovationhub.difc.ae, friendlyName=innovationhub.difc.ae</x:v>
      </x:c>
      <x:c r="M72" s="14" t="e">
        <x:f>HYPERLINK("https://www.innovationhub.difc.ae/the-hub/about-innovation-hub","innovationhub.difc.ae")</x:f>
        <x:v>HYPERLINK is not implemented. linkLocation=https://www.innovationhub.difc.ae/the-hub/about-innovation-hub, friendlyName=innovationhub.difc.ae</x:v>
      </x:c>
      <x:c r="N72" s="6" t="str">
        <x:v>بحسب الدورة والبرنامج ومرحلة الشركة</x:v>
      </x:c>
      <x:c r="O72" s="6" t="str">
        <x:v>غير مؤكد؛ راجع القناة المنشورة</x:v>
      </x:c>
      <x:c r="P72" s="13" t="str">
        <x:v>لم يتم التواصل</x:v>
      </x:c>
      <x:c r="Q72" s="6" t="str">
        <x:v>تأكيد جهة الاتصال والملاءمة ثم طلب متطلبات التقديم</x:v>
      </x:c>
      <x:c r="R72" s="6" t="str">
        <x:v>بريد الأعمال المنشور خاص بالتقنية المالية / ترخيص الابتكار؛ ليس تعهداً بالتمويل.</x:v>
      </x:c>
      <x:c r="S72" s="11" t="d">
        <x:v>2026-10-22T06:00:00.000Z</x:v>
      </x:c>
      <x:c r="T72" s="14" t="e">
        <x:f>HYPERLINK("https://www.innovationhub.difc.ae/the-hub/about-innovation-hub","innovationhub.difc.ae")</x:f>
        <x:v>HYPERLINK is not implemented. linkLocation=https://www.innovationhub.difc.ae/the-hub/about-innovation-hub, friendlyName=innovationhub.difc.ae</x:v>
      </x:c>
      <x:c r="U72" s="14" t="e">
        <x:f>HYPERLINK("https://landing.difc.ae/innovation-license-thank-you","landing.difc.ae")</x:f>
        <x:v>HYPERLINK is not implemented. linkLocation=https://landing.difc.ae/innovation-license-thank-you, friendlyName=landing.difc.ae</x:v>
      </x:c>
      <x:c r="V72" s="14" t="str">
        <x:v>غير متاح في المصادر المراجعة</x:v>
      </x:c>
      <x:c r="W72" s="6" t="str">
        <x:v>مصدر ثانوي؛ يلزم تأكيد مباشر</x:v>
      </x:c>
      <x:c r="X72" s="6" t="str">
        <x:v>غير متاح في المصادر المراجعة</x:v>
      </x:c>
    </x:row>
    <x:row r="73" ht="45" customHeight="1">
      <x:c r="A73" s="10" t="str">
        <x:v>F068</x:v>
      </x:c>
      <x:c r="B73" s="6" t="str">
        <x:v>MBZUAI Incubation and Entrepreneurship Center</x:v>
      </x:c>
      <x:c r="C73" s="6" t="str">
        <x:v>حاضنة جامعية</x:v>
      </x:c>
      <x:c r="D73" s="6" t="str">
        <x:v>أبوظبي</x:v>
      </x:c>
      <x:c r="E73" s="6" t="str">
        <x:v>ذكاء اصطناعي</x:v>
      </x:c>
      <x:c r="F73" s="6" t="str">
        <x:v>تأسيس ومراحل مبكرة</x:v>
      </x:c>
      <x:c r="G73" s="6" t="str">
        <x:v>احتضان جامعي وبرامج دعم</x:v>
      </x:c>
      <x:c r="H73" s="6" t="str">
        <x:v>دعم بحسب الأهلية</x:v>
      </x:c>
      <x:c r="I73" s="6" t="str">
        <x:v>غير متاح في المصادر المراجعة</x:v>
      </x:c>
      <x:c r="J73" s="6" t="str">
        <x:v>+971 2 811 3333</x:v>
      </x:c>
      <x:c r="K73" s="6" t="str">
        <x:v>نموذج / موقع الجهة</x:v>
      </x:c>
      <x:c r="L73" s="14" t="e">
        <x:f>HYPERLINK("https://mbzuai.ac.ae","mbzuai.ac.ae")</x:f>
        <x:v>HYPERLINK is not implemented. linkLocation=https://mbzuai.ac.ae, friendlyName=mbzuai.ac.ae</x:v>
      </x:c>
      <x:c r="M73" s="14" t="e">
        <x:f>HYPERLINK("https://mbzuai.ac.ae/about-us/contact-mbzuai","mbzuai.ac.ae")</x:f>
        <x:v>HYPERLINK is not implemented. linkLocation=https://mbzuai.ac.ae/about-us/contact-mbzuai, friendlyName=mbzuai.ac.ae</x:v>
      </x:c>
      <x:c r="N73" s="6" t="str">
        <x:v>بحسب الدورة والبرنامج ومرحلة الشركة</x:v>
      </x:c>
      <x:c r="O73" s="6" t="str">
        <x:v>غير مؤكد؛ راجع القناة المنشورة</x:v>
      </x:c>
      <x:c r="P73" s="13" t="str">
        <x:v>لم يتم التواصل</x:v>
      </x:c>
      <x:c r="Q73" s="6" t="str">
        <x:v>تأكيد جهة الاتصال والملاءمة ثم طلب متطلبات التقديم</x:v>
      </x:c>
      <x:c r="R73" s="6" t="str">
        <x:v>رقم هاتف الجامعة العام؛ اطلب التحويل إلى IEC.</x:v>
      </x:c>
      <x:c r="S73" s="11" t="d">
        <x:v>2026-10-22T06:00:00.000Z</x:v>
      </x:c>
      <x:c r="T73" s="14" t="e">
        <x:f>HYPERLINK("https://mbzuai.ac.ae/about-us/contact-mbzuai","mbzuai.ac.ae")</x:f>
        <x:v>HYPERLINK is not implemented. linkLocation=https://mbzuai.ac.ae/about-us/contact-mbzuai, friendlyName=mbzuai.ac.ae</x:v>
      </x:c>
      <x:c r="U73" s="14" t="str">
        <x:v>غير متاح في المصادر المراجعة</x:v>
      </x:c>
      <x:c r="V73" s="14" t="e">
        <x:f>HYPERLINK("https://mbzuai.ac.ae/about-us/contact-mbzuai","mbzuai.ac.ae")</x:f>
        <x:v>HYPERLINK is not implemented. linkLocation=https://mbzuai.ac.ae/about-us/contact-mbzuai, friendlyName=mbzuai.ac.ae</x:v>
      </x:c>
      <x:c r="W73" s="6" t="str">
        <x:v>غير متاح في المصادر المراجعة</x:v>
      </x:c>
      <x:c r="X73" s="6" t="str">
        <x:v>موقع الجهة أو قناة مرتبطة بها</x:v>
      </x:c>
    </x:row>
    <x:row r="74" ht="45" customHeight="1">
      <x:c r="A74" s="10" t="str">
        <x:v>F069</x:v>
      </x:c>
      <x:c r="B74" s="6" t="str">
        <x:v>Disrupt.com</x:v>
      </x:c>
      <x:c r="C74" s="6" t="str">
        <x:v>استوديو استثماري</x:v>
      </x:c>
      <x:c r="D74" s="6" t="str">
        <x:v>دبي</x:v>
      </x:c>
      <x:c r="E74" s="6" t="str">
        <x:v>مشاريع تقنية وذكاء اصطناعي</x:v>
      </x:c>
      <x:c r="F74" s="6" t="str">
        <x:v>تأسيس ومراحل مبكرة</x:v>
      </x:c>
      <x:c r="G74" s="6" t="str">
        <x:v>بناء مشاريع واستثمار</x:v>
      </x:c>
      <x:c r="H74" s="6" t="str">
        <x:v>تمويل بحسب الشراكة</x:v>
      </x:c>
      <x:c r="I74" s="6" t="str">
        <x:v>غير متاح في المصادر المراجعة</x:v>
      </x:c>
      <x:c r="J74" s="6" t="str">
        <x:v>غير متاح في المصادر المراجعة</x:v>
      </x:c>
      <x:c r="K74" s="6" t="str">
        <x:v>نموذج / موقع الجهة</x:v>
      </x:c>
      <x:c r="L74" s="14" t="e">
        <x:f>HYPERLINK("https://disrupt.com","disrupt.com")</x:f>
        <x:v>HYPERLINK is not implemented. linkLocation=https://disrupt.com, friendlyName=disrupt.com</x:v>
      </x:c>
      <x:c r="M74" s="14" t="e">
        <x:f>HYPERLINK("https://www.disrupt.com/contact-us","disrupt.com")</x:f>
        <x:v>HYPERLINK is not implemented. linkLocation=https://www.disrupt.com/contact-us, friendlyName=disrupt.com</x:v>
      </x:c>
      <x:c r="N74" s="6" t="str">
        <x:v>ملاءمة القطاع والمرحلة والنطاق الجغرافي؛ تأكيد مباشر</x:v>
      </x:c>
      <x:c r="O74" s="6" t="str">
        <x:v>غير مؤكد؛ راجع القناة المنشورة</x:v>
      </x:c>
      <x:c r="P74" s="13" t="str">
        <x:v>لم يتم التواصل</x:v>
      </x:c>
      <x:c r="Q74" s="6" t="str">
        <x:v>تأكيد جهة الاتصال والملاءمة ثم طلب متطلبات التقديم</x:v>
      </x:c>
      <x:c r="R74" s="6" t="str"/>
      <x:c r="S74" s="11" t="d">
        <x:v>2026-10-22T06:00:00.000Z</x:v>
      </x:c>
      <x:c r="T74" s="14" t="e">
        <x:f>HYPERLINK("https://www.disrupt.com/","disrupt.com")</x:f>
        <x:v>HYPERLINK is not implemented. linkLocation=https://www.disrupt.com/, friendlyName=disrupt.com</x:v>
      </x:c>
      <x:c r="U74" s="14" t="str">
        <x:v>غير متاح في المصادر المراجعة</x:v>
      </x:c>
      <x:c r="V74" s="14" t="str">
        <x:v>غير متاح في المصادر المراجعة</x:v>
      </x:c>
      <x:c r="W74" s="6" t="str">
        <x:v>غير متاح في المصادر المراجعة</x:v>
      </x:c>
      <x:c r="X74" s="6" t="str">
        <x:v>غير متاح في المصادر المراجعة</x:v>
      </x:c>
    </x:row>
    <x:row r="75" ht="45" customHeight="1">
      <x:c r="A75" s="10" t="str">
        <x:v>F070</x:v>
      </x:c>
      <x:c r="B75" s="6" t="str">
        <x:v>Presight AI Accelerator</x:v>
      </x:c>
      <x:c r="C75" s="6" t="str">
        <x:v>مسرعة</x:v>
      </x:c>
      <x:c r="D75" s="6" t="str">
        <x:v>أبوظبي</x:v>
      </x:c>
      <x:c r="E75" s="6" t="str">
        <x:v>ذكاء اصطناعي</x:v>
      </x:c>
      <x:c r="F75" s="6" t="str">
        <x:v>مراحل مبكرة وتسريع</x:v>
      </x:c>
      <x:c r="G75" s="6" t="str">
        <x:v>تسريع وموارد تقنية</x:v>
      </x:c>
      <x:c r="H75" s="6" t="str">
        <x:v>شروط التمويل بحسب الدورة</x:v>
      </x:c>
      <x:c r="I75" s="6" t="str">
        <x:v>غير متاح في المصادر المراجعة</x:v>
      </x:c>
      <x:c r="J75" s="6" t="str">
        <x:v>غير متاح في المصادر المراجعة</x:v>
      </x:c>
      <x:c r="K75" s="6" t="str">
        <x:v>نموذج / موقع الجهة</x:v>
      </x:c>
      <x:c r="L75" s="14" t="e">
        <x:f>HYPERLINK("https://presight.ai","presight.ai")</x:f>
        <x:v>HYPERLINK is not implemented. linkLocation=https://presight.ai, friendlyName=presight.ai</x:v>
      </x:c>
      <x:c r="M75" s="14" t="e">
        <x:f>HYPERLINK("https://www.presight.ai/contact-us","presight.ai")</x:f>
        <x:v>HYPERLINK is not implemented. linkLocation=https://www.presight.ai/contact-us, friendlyName=presight.ai</x:v>
      </x:c>
      <x:c r="N75" s="6" t="str">
        <x:v>بحسب الدورة والبرنامج ومرحلة الشركة</x:v>
      </x:c>
      <x:c r="O75" s="6" t="str">
        <x:v>غير مؤكد؛ راجع القناة المنشورة</x:v>
      </x:c>
      <x:c r="P75" s="13" t="str">
        <x:v>لم يتم التواصل</x:v>
      </x:c>
      <x:c r="Q75" s="6" t="str">
        <x:v>تأكيد جهة الاتصال والملاءمة ثم طلب متطلبات التقديم</x:v>
      </x:c>
      <x:c r="R75" s="6" t="str">
        <x:v>تأكد من فتح الدورة وشروط المشاركة عبر صفحة البرنامج.</x:v>
      </x:c>
      <x:c r="S75" s="11" t="d">
        <x:v>2026-10-22T06:00:00.000Z</x:v>
      </x:c>
      <x:c r="T75" s="14" t="e">
        <x:f>HYPERLINK("https://www.presight.ai/accelerator","presight.ai")</x:f>
        <x:v>HYPERLINK is not implemented. linkLocation=https://www.presight.ai/accelerator, friendlyName=presight.ai</x:v>
      </x:c>
      <x:c r="U75" s="14" t="str">
        <x:v>غير متاح في المصادر المراجعة</x:v>
      </x:c>
      <x:c r="V75" s="14" t="str">
        <x:v>غير متاح في المصادر المراجعة</x:v>
      </x:c>
      <x:c r="W75" s="6" t="str">
        <x:v>غير متاح في المصادر المراجعة</x:v>
      </x:c>
      <x:c r="X75" s="6" t="str">
        <x:v>غير متاح في المصادر المراجعة</x:v>
      </x:c>
    </x:row>
    <x:row r="76" ht="45" customHeight="1">
      <x:c r="A76" s="10" t="str">
        <x:v>F071</x:v>
      </x:c>
      <x:c r="B76" s="6" t="str">
        <x:v>Emirates Development Bank</x:v>
      </x:c>
      <x:c r="C76" s="6" t="str">
        <x:v>بنك تنموي</x:v>
      </x:c>
      <x:c r="D76" s="6" t="str">
        <x:v>الإمارات</x:v>
      </x:c>
      <x:c r="E76" s="6" t="str">
        <x:v>القطاعات التنموية ذات الأولوية</x:v>
      </x:c>
      <x:c r="F76" s="6" t="str">
        <x:v>شركات ناشئة ومنشآت صغيرة ومتوسطة</x:v>
      </x:c>
      <x:c r="G76" s="6" t="str">
        <x:v>تمويل بالدين وضمانات</x:v>
      </x:c>
      <x:c r="H76" s="6" t="str">
        <x:v>إقراض مشروط</x:v>
      </x:c>
      <x:c r="I76" s="6" t="str">
        <x:v>edbbusinessfinance@edb.gov.ae</x:v>
      </x:c>
      <x:c r="J76" s="6" t="str">
        <x:v>800 27274</x:v>
      </x:c>
      <x:c r="K76" s="6" t="str">
        <x:v>أعمال / مبيعات / تمويل</x:v>
      </x:c>
      <x:c r="L76" s="14" t="e">
        <x:f>HYPERLINK("https://edb.gov.ae","edb.gov.ae")</x:f>
        <x:v>HYPERLINK is not implemented. linkLocation=https://edb.gov.ae, friendlyName=edb.gov.ae</x:v>
      </x:c>
      <x:c r="M76" s="14" t="e">
        <x:f>HYPERLINK("https://edb.gov.ae/contact","edb.gov.ae")</x:f>
        <x:v>HYPERLINK is not implemented. linkLocation=https://edb.gov.ae/contact, friendlyName=edb.gov.ae</x:v>
      </x:c>
      <x:c r="N76" s="6" t="str">
        <x:v>رخصة ونشاط ومستندات مالية وتقييم ائتماني بحسب المنتج</x:v>
      </x:c>
      <x:c r="O76" s="6" t="str">
        <x:v>غير مؤكد؛ راجع القناة المنشورة</x:v>
      </x:c>
      <x:c r="P76" s="13" t="str">
        <x:v>لم يتم التواصل</x:v>
      </x:c>
      <x:c r="Q76" s="6" t="str">
        <x:v>تأكيد جهة الاتصال والملاءمة ثم طلب متطلبات التقديم</x:v>
      </x:c>
      <x:c r="R76" s="6" t="str"/>
      <x:c r="S76" s="11" t="d">
        <x:v>2026-10-22T06:00:00.000Z</x:v>
      </x:c>
      <x:c r="T76" s="14" t="e">
        <x:f>HYPERLINK("https://edb.gov.ae/storage/460/9ecRSCdVrbQED8qEz0OHn2NUU37Cpz-metaRURCIFB1bHNlX0p1bmUgRWRpdGlvbl9FTi5wZGY%3D-.pdf","edb.gov.ae")</x:f>
        <x:v>HYPERLINK is not implemented. linkLocation=https://edb.gov.ae/storage/460/9ecRSCdVrbQED8qEz0OHn2NUU37Cpz-metaRURCIFB1bHNlX0p1bmUgRWRpdGlvbl9FTi5wZGY%3D-.pdf, friendlyName=edb.gov.ae</x:v>
      </x:c>
      <x:c r="U76" s="14" t="e">
        <x:f>HYPERLINK("https://edb.gov.ae/storage/460/9ecRSCdVrbQED8qEz0OHn2NUU37Cpz-metaRURCIFB1bHNlX0p1bmUgRWRpdGlvbl9FTi5wZGY%3D-.pdf","edb.gov.ae")</x:f>
        <x:v>HYPERLINK is not implemented. linkLocation=https://edb.gov.ae/storage/460/9ecRSCdVrbQED8qEz0OHn2NUU37Cpz-metaRURCIFB1bHNlX0p1bmUgRWRpdGlvbl9FTi5wZGY%3D-.pdf, friendlyName=edb.gov.ae</x:v>
      </x:c>
      <x:c r="V76" s="14" t="e">
        <x:f>HYPERLINK("https://edb.gov.ae/sme-customer-application","edb.gov.ae")</x:f>
        <x:v>HYPERLINK is not implemented. linkLocation=https://edb.gov.ae/sme-customer-application, friendlyName=edb.gov.ae</x:v>
      </x:c>
      <x:c r="W76" s="6" t="str">
        <x:v>موقع الجهة أو قناة مرتبطة بها</x:v>
      </x:c>
      <x:c r="X76" s="6" t="str">
        <x:v>موقع الجهة أو قناة مرتبطة بها</x:v>
      </x:c>
    </x:row>
    <x:row r="77" ht="45" customHeight="1">
      <x:c r="A77" s="10" t="str">
        <x:v>F072</x:v>
      </x:c>
      <x:c r="B77" s="6" t="str">
        <x:v>Khalifa Fund</x:v>
      </x:c>
      <x:c r="C77" s="6" t="str">
        <x:v>صندوق حكومي</x:v>
      </x:c>
      <x:c r="D77" s="6" t="str">
        <x:v>أبوظبي</x:v>
      </x:c>
      <x:c r="E77" s="6" t="str">
        <x:v>مشاريع رواد الأعمال المواطنين</x:v>
      </x:c>
      <x:c r="F77" s="6" t="str">
        <x:v>تأسيس ونمو</x:v>
      </x:c>
      <x:c r="G77" s="6" t="str">
        <x:v>قروض ودعم أعمال</x:v>
      </x:c>
      <x:c r="H77" s="6" t="str">
        <x:v>تمويل مشروط بالأهلية</x:v>
      </x:c>
      <x:c r="I77" s="6" t="str">
        <x:v>info@khalifafund.ae</x:v>
      </x:c>
      <x:c r="J77" s="6" t="str">
        <x:v>600 500506</x:v>
      </x:c>
      <x:c r="K77" s="6" t="str">
        <x:v>استفسارات عامة</x:v>
      </x:c>
      <x:c r="L77" s="14" t="e">
        <x:f>HYPERLINK("https://khalifafund.ae","khalifafund.ae")</x:f>
        <x:v>HYPERLINK is not implemented. linkLocation=https://khalifafund.ae, friendlyName=khalifafund.ae</x:v>
      </x:c>
      <x:c r="M77" s="14" t="e">
        <x:f>HYPERLINK("https://www.khalifafund.ae/contact/","khalifafund.ae")</x:f>
        <x:v>HYPERLINK is not implemented. linkLocation=https://www.khalifafund.ae/contact/, friendlyName=khalifafund.ae</x:v>
      </x:c>
      <x:c r="N77" s="6" t="str">
        <x:v>ملاءمة القطاع والمرحلة والنطاق الجغرافي؛ تأكيد مباشر</x:v>
      </x:c>
      <x:c r="O77" s="6" t="str">
        <x:v>غير مؤكد؛ راجع القناة المنشورة</x:v>
      </x:c>
      <x:c r="P77" s="13" t="str">
        <x:v>لم يتم التواصل</x:v>
      </x:c>
      <x:c r="Q77" s="6" t="str">
        <x:v>تأكيد جهة الاتصال والملاءمة ثم طلب متطلبات التقديم</x:v>
      </x:c>
      <x:c r="R77" s="6" t="str">
        <x:v>التمويل مرتبط بشروط الجنسية والملكية والنشاط بأبوظبي؛ راجع البرنامج المحدد.</x:v>
      </x:c>
      <x:c r="S77" s="11" t="d">
        <x:v>2026-10-22T06:00:00.000Z</x:v>
      </x:c>
      <x:c r="T77" s="14" t="e">
        <x:f>HYPERLINK("https://www.khalifafund.ae/contact/","khalifafund.ae")</x:f>
        <x:v>HYPERLINK is not implemented. linkLocation=https://www.khalifafund.ae/contact/, friendlyName=khalifafund.ae</x:v>
      </x:c>
      <x:c r="U77" s="14" t="e">
        <x:f>HYPERLINK("https://www.khalifafund.ae/faq/","khalifafund.ae")</x:f>
        <x:v>HYPERLINK is not implemented. linkLocation=https://www.khalifafund.ae/faq/, friendlyName=khalifafund.ae</x:v>
      </x:c>
      <x:c r="V77" s="14" t="e">
        <x:f>HYPERLINK("https://www.khalifafund.ae/faq/","khalifafund.ae")</x:f>
        <x:v>HYPERLINK is not implemented. linkLocation=https://www.khalifafund.ae/faq/, friendlyName=khalifafund.ae</x:v>
      </x:c>
      <x:c r="W77" s="6" t="str">
        <x:v>موقع الجهة أو قناة مرتبطة بها</x:v>
      </x:c>
      <x:c r="X77" s="6" t="str">
        <x:v>موقع الجهة أو قناة مرتبطة بها</x:v>
      </x:c>
    </x:row>
    <x:row r="78" ht="45" customHeight="1">
      <x:c r="A78" s="10" t="str">
        <x:v>F073</x:v>
      </x:c>
      <x:c r="B78" s="6" t="str">
        <x:v>Mohammed Bin Rashid Innovation Fund</x:v>
      </x:c>
      <x:c r="C78" s="6" t="str">
        <x:v>ضمانات ومسرعة حكومية</x:v>
      </x:c>
      <x:c r="D78" s="6" t="str">
        <x:v>الإمارات</x:v>
      </x:c>
      <x:c r="E78" s="6" t="str">
        <x:v>القطاعات الابتكارية</x:v>
      </x:c>
      <x:c r="F78" s="6" t="str">
        <x:v>ابتكار ونمو</x:v>
      </x:c>
      <x:c r="G78" s="6" t="str">
        <x:v>ضمانات تمويل وتسريع</x:v>
      </x:c>
      <x:c r="H78" s="6" t="str">
        <x:v>ضمانات ودعم؛ ليس منحة عامة</x:v>
      </x:c>
      <x:c r="I78" s="6" t="str">
        <x:v>contact@mbrif.ae</x:v>
      </x:c>
      <x:c r="J78" s="6" t="str">
        <x:v>غير متاح في المصادر المراجعة</x:v>
      </x:c>
      <x:c r="K78" s="6" t="str">
        <x:v>استفسارات عامة</x:v>
      </x:c>
      <x:c r="L78" s="14" t="e">
        <x:f>HYPERLINK("https://mbrif.ae","mbrif.ae")</x:f>
        <x:v>HYPERLINK is not implemented. linkLocation=https://mbrif.ae, friendlyName=mbrif.ae</x:v>
      </x:c>
      <x:c r="M78" s="14" t="e">
        <x:f>HYPERLINK("https://mbrif.ae/contact-us/","mbrif.ae")</x:f>
        <x:v>HYPERLINK is not implemented. linkLocation=https://mbrif.ae/contact-us/, friendlyName=mbrif.ae</x:v>
      </x:c>
      <x:c r="N78" s="6" t="str">
        <x:v>بحسب الدورة والبرنامج ومرحلة الشركة</x:v>
      </x:c>
      <x:c r="O78" s="6" t="str">
        <x:v>غير مؤكد؛ راجع القناة المنشورة</x:v>
      </x:c>
      <x:c r="P78" s="13" t="str">
        <x:v>لم يتم التواصل</x:v>
      </x:c>
      <x:c r="Q78" s="6" t="str">
        <x:v>تأكيد جهة الاتصال والملاءمة ثم طلب متطلبات التقديم</x:v>
      </x:c>
      <x:c r="R78" s="6" t="str"/>
      <x:c r="S78" s="11" t="d">
        <x:v>2026-10-22T06:00:00.000Z</x:v>
      </x:c>
      <x:c r="T78" s="14" t="e">
        <x:f>HYPERLINK("https://mbrif.ae/ar/faq/","mbrif.ae")</x:f>
        <x:v>HYPERLINK is not implemented. linkLocation=https://mbrif.ae/ar/faq/, friendlyName=mbrif.ae</x:v>
      </x:c>
      <x:c r="U78" s="14" t="e">
        <x:f>HYPERLINK("https://mbrif.ae/contact-us/","mbrif.ae")</x:f>
        <x:v>HYPERLINK is not implemented. linkLocation=https://mbrif.ae/contact-us/, friendlyName=mbrif.ae</x:v>
      </x:c>
      <x:c r="V78" s="14" t="str">
        <x:v>غير متاح في المصادر المراجعة</x:v>
      </x:c>
      <x:c r="W78" s="6" t="str">
        <x:v>موقع الجهة أو قناة مرتبطة بها</x:v>
      </x:c>
      <x:c r="X78" s="6" t="str">
        <x:v>غير متاح في المصادر المراجعة</x:v>
      </x:c>
    </x:row>
    <x:row r="79" ht="45" customHeight="1">
      <x:c r="A79" s="10" t="str">
        <x:v>F074</x:v>
      </x:c>
      <x:c r="B79" s="6" t="str">
        <x:v>Dubai Future District Fund</x:v>
      </x:c>
      <x:c r="C79" s="6" t="str">
        <x:v>صندوق حكومي</x:v>
      </x:c>
      <x:c r="D79" s="6" t="str">
        <x:v>دبي</x:v>
      </x:c>
      <x:c r="E79" s="6" t="str">
        <x:v>اقتصاد المستقبل وتقنية</x:v>
      </x:c>
      <x:c r="F79" s="6" t="str">
        <x:v>شركات وصناديق</x:v>
      </x:c>
      <x:c r="G79" s="6" t="str">
        <x:v>استثمار مباشر وصندوق صناديق</x:v>
      </x:c>
      <x:c r="H79" s="6" t="str">
        <x:v>استثمار مباشر وغير مباشر</x:v>
      </x:c>
      <x:c r="I79" s="6" t="str">
        <x:v>info@dfdf.vc</x:v>
      </x:c>
      <x:c r="J79" s="6" t="str">
        <x:v>+971 4 566 5929</x:v>
      </x:c>
      <x:c r="K79" s="6" t="str">
        <x:v>استفسارات عامة</x:v>
      </x:c>
      <x:c r="L79" s="14" t="e">
        <x:f>HYPERLINK("https://dfdf.vc","dfdf.vc")</x:f>
        <x:v>HYPERLINK is not implemented. linkLocation=https://dfdf.vc, friendlyName=dfdf.vc</x:v>
      </x:c>
      <x:c r="M79" s="14" t="e">
        <x:f>HYPERLINK("https://dfdf.vc/","dfdf.vc")</x:f>
        <x:v>HYPERLINK is not implemented. linkLocation=https://dfdf.vc/, friendlyName=dfdf.vc</x:v>
      </x:c>
      <x:c r="N79" s="6" t="str">
        <x:v>ملاءمة القطاع والمرحلة والنطاق الجغرافي؛ تأكيد مباشر</x:v>
      </x:c>
      <x:c r="O79" s="6" t="str">
        <x:v>غير مؤكد؛ راجع القناة المنشورة</x:v>
      </x:c>
      <x:c r="P79" s="13" t="str">
        <x:v>لم يتم التواصل</x:v>
      </x:c>
      <x:c r="Q79" s="6" t="str">
        <x:v>تأكيد جهة الاتصال والملاءمة ثم طلب متطلبات التقديم</x:v>
      </x:c>
      <x:c r="R79" s="6" t="str"/>
      <x:c r="S79" s="11" t="d">
        <x:v>2026-10-22T06:00:00.000Z</x:v>
      </x:c>
      <x:c r="T79" s="14" t="e">
        <x:f>HYPERLINK("https://dfdf.vc/","dfdf.vc")</x:f>
        <x:v>HYPERLINK is not implemented. linkLocation=https://dfdf.vc/, friendlyName=dfdf.vc</x:v>
      </x:c>
      <x:c r="U79" s="14" t="e">
        <x:f>HYPERLINK("https://dfdf.vc/","dfdf.vc")</x:f>
        <x:v>HYPERLINK is not implemented. linkLocation=https://dfdf.vc/, friendlyName=dfdf.vc</x:v>
      </x:c>
      <x:c r="V79" s="14" t="e">
        <x:f>HYPERLINK("https://dfdf.vc/","dfdf.vc")</x:f>
        <x:v>HYPERLINK is not implemented. linkLocation=https://dfdf.vc/, friendlyName=dfdf.vc</x:v>
      </x:c>
      <x:c r="W79" s="6" t="str">
        <x:v>موقع الجهة أو قناة مرتبطة بها</x:v>
      </x:c>
      <x:c r="X79" s="6" t="str">
        <x:v>موقع الجهة أو قناة مرتبطة بها</x:v>
      </x:c>
    </x:row>
    <x:row r="80" ht="45" customHeight="1">
      <x:c r="A80" s="10" t="str">
        <x:v>F075</x:v>
      </x:c>
      <x:c r="B80" s="6" t="str">
        <x:v>Dubai SME</x:v>
      </x:c>
      <x:c r="C80" s="6" t="str">
        <x:v>دعم وتمويل حكومي</x:v>
      </x:c>
      <x:c r="D80" s="6" t="str">
        <x:v>دبي</x:v>
      </x:c>
      <x:c r="E80" s="6" t="str">
        <x:v>المشروعات الصغيرة والمتوسطة</x:v>
      </x:c>
      <x:c r="F80" s="6" t="str">
        <x:v>تأسيس ونمو</x:v>
      </x:c>
      <x:c r="G80" s="6" t="str">
        <x:v>دعم وبرامج تمويل ومشتريات</x:v>
      </x:c>
      <x:c r="H80" s="6" t="str">
        <x:v>حسب البرنامج والأهلية</x:v>
      </x:c>
      <x:c r="I80" s="6" t="str">
        <x:v>info@sme.ae</x:v>
      </x:c>
      <x:c r="J80" s="6" t="str">
        <x:v>800 763</x:v>
      </x:c>
      <x:c r="K80" s="6" t="str">
        <x:v>استفسارات عامة</x:v>
      </x:c>
      <x:c r="L80" s="14" t="e">
        <x:f>HYPERLINK("https://sme.ae","sme.ae")</x:f>
        <x:v>HYPERLINK is not implemented. linkLocation=https://sme.ae, friendlyName=sme.ae</x:v>
      </x:c>
      <x:c r="M80" s="14" t="e">
        <x:f>HYPERLINK("https://www.mysme.ae/","mysme.ae")</x:f>
        <x:v>HYPERLINK is not implemented. linkLocation=https://www.mysme.ae/, friendlyName=mysme.ae</x:v>
      </x:c>
      <x:c r="N80" s="6" t="str">
        <x:v>ملاءمة القطاع والمرحلة والنطاق الجغرافي؛ تأكيد مباشر</x:v>
      </x:c>
      <x:c r="O80" s="6" t="str">
        <x:v>غير مؤكد؛ راجع القناة المنشورة</x:v>
      </x:c>
      <x:c r="P80" s="13" t="str">
        <x:v>لم يتم التواصل</x:v>
      </x:c>
      <x:c r="Q80" s="6" t="str">
        <x:v>تأكيد جهة الاتصال والملاءمة ثم طلب متطلبات التقديم</x:v>
      </x:c>
      <x:c r="R80" s="6" t="str">
        <x:v>تختلف الأهلية حسب البرنامج؛ بعض المسارات مخصصة للمواطنين.</x:v>
      </x:c>
      <x:c r="S80" s="11" t="d">
        <x:v>2026-10-22T06:00:00.000Z</x:v>
      </x:c>
      <x:c r="T80" s="14" t="e">
        <x:f>HYPERLINK("https://www.mysme.ae/","mysme.ae")</x:f>
        <x:v>HYPERLINK is not implemented. linkLocation=https://www.mysme.ae/, friendlyName=mysme.ae</x:v>
      </x:c>
      <x:c r="U80" s="14" t="e">
        <x:f>HYPERLINK("https://sme.ae/SME_File/Files/Dubai_SME_2021_Brochure_ENGLIS.pdf","sme.ae")</x:f>
        <x:v>HYPERLINK is not implemented. linkLocation=https://sme.ae/SME_File/Files/Dubai_SME_2021_Brochure_ENGLIS.pdf, friendlyName=sme.ae</x:v>
      </x:c>
      <x:c r="V80" s="14" t="e">
        <x:f>HYPERLINK("https://sme.ae/SME_File/Files/Dubai_SME_2021_Brochure_ENGLIS.pdf","sme.ae")</x:f>
        <x:v>HYPERLINK is not implemented. linkLocation=https://sme.ae/SME_File/Files/Dubai_SME_2021_Brochure_ENGLIS.pdf, friendlyName=sme.ae</x:v>
      </x:c>
      <x:c r="W80" s="6" t="str">
        <x:v>موقع الجهة أو قناة مرتبطة بها</x:v>
      </x:c>
      <x:c r="X80" s="6" t="str">
        <x:v>موقع الجهة أو قناة مرتبطة بها</x:v>
      </x:c>
    </x:row>
    <x:row r="81" ht="45" customHeight="1">
      <x:c r="A81" s="10" t="str">
        <x:v>F076</x:v>
      </x:c>
      <x:c r="B81" s="6" t="str">
        <x:v>Abu Dhabi Investment Office</x:v>
      </x:c>
      <x:c r="C81" s="6" t="str">
        <x:v>حوافز حكومية</x:v>
      </x:c>
      <x:c r="D81" s="6" t="str">
        <x:v>أبوظبي</x:v>
      </x:c>
      <x:c r="E81" s="6" t="str">
        <x:v>قطاعات استراتيجية</x:v>
      </x:c>
      <x:c r="F81" s="6" t="str">
        <x:v>مشروعات وتوسع</x:v>
      </x:c>
      <x:c r="G81" s="6" t="str">
        <x:v>حوافز ودعم استثماري</x:v>
      </x:c>
      <x:c r="H81" s="6" t="str">
        <x:v>حوافز بحسب المشروع</x:v>
      </x:c>
      <x:c r="I81" s="6" t="str">
        <x:v>inquiries@adio.ae</x:v>
      </x:c>
      <x:c r="J81" s="6" t="str">
        <x:v>+971 2 812 0000</x:v>
      </x:c>
      <x:c r="K81" s="6" t="str">
        <x:v>أعمال / مبيعات / تمويل</x:v>
      </x:c>
      <x:c r="L81" s="14" t="e">
        <x:f>HYPERLINK("https://investwithabudhabi.com","investwithabudhabi.com")</x:f>
        <x:v>HYPERLINK is not implemented. linkLocation=https://investwithabudhabi.com, friendlyName=investwithabudhabi.com</x:v>
      </x:c>
      <x:c r="M81" s="14" t="e">
        <x:f>HYPERLINK("https://www.investwithabudhabi.com/en/contact?topic=scoping-call","investwithabudhabi.com")</x:f>
        <x:v>HYPERLINK is not implemented. linkLocation=https://www.investwithabudhabi.com/en/contact?topic=scoping-call, friendlyName=investwithabudhabi.com</x:v>
      </x:c>
      <x:c r="N81" s="6" t="str">
        <x:v>ملاءمة القطاع والمرحلة والنطاق الجغرافي؛ تأكيد مباشر</x:v>
      </x:c>
      <x:c r="O81" s="6" t="str">
        <x:v>غير مؤكد؛ راجع القناة المنشورة</x:v>
      </x:c>
      <x:c r="P81" s="13" t="str">
        <x:v>لم يتم التواصل</x:v>
      </x:c>
      <x:c r="Q81" s="6" t="str">
        <x:v>تأكيد جهة الاتصال والملاءمة ثم طلب متطلبات التقديم</x:v>
      </x:c>
      <x:c r="R81" s="6" t="str"/>
      <x:c r="S81" s="11" t="d">
        <x:v>2026-10-22T06:00:00.000Z</x:v>
      </x:c>
      <x:c r="T81" s="14" t="e">
        <x:f>HYPERLINK("https://www.investinabudhabi.ae/Get-In-Touch","investinabudhabi.ae")</x:f>
        <x:v>HYPERLINK is not implemented. linkLocation=https://www.investinabudhabi.ae/Get-In-Touch, friendlyName=investinabudhabi.ae</x:v>
      </x:c>
      <x:c r="U81" s="14" t="e">
        <x:f>HYPERLINK("https://www.investinabudhabi.ae/Privacy-Policy","investinabudhabi.ae")</x:f>
        <x:v>HYPERLINK is not implemented. linkLocation=https://www.investinabudhabi.ae/Privacy-Policy, friendlyName=investinabudhabi.ae</x:v>
      </x:c>
      <x:c r="V81" s="14" t="e">
        <x:f>HYPERLINK("https://www.investinabudhabi.ae/Privacy-Policy","investinabudhabi.ae")</x:f>
        <x:v>HYPERLINK is not implemented. linkLocation=https://www.investinabudhabi.ae/Privacy-Policy, friendlyName=investinabudhabi.ae</x:v>
      </x:c>
      <x:c r="W81" s="6" t="str">
        <x:v>موقع الجهة أو قناة مرتبطة بها</x:v>
      </x:c>
      <x:c r="X81" s="6" t="str">
        <x:v>موقع الجهة أو قناة مرتبطة بها</x:v>
      </x:c>
    </x:row>
    <x:row r="82" ht="45" customHeight="1">
      <x:c r="A82" s="10" t="str">
        <x:v>F077</x:v>
      </x:c>
      <x:c r="B82" s="6" t="str">
        <x:v>Emirates Growth Fund</x:v>
      </x:c>
      <x:c r="C82" s="6" t="str">
        <x:v>صندوق نمو حكومي</x:v>
      </x:c>
      <x:c r="D82" s="6" t="str">
        <x:v>دبي / الإمارات</x:v>
      </x:c>
      <x:c r="E82" s="6" t="str">
        <x:v>منشآت صغيرة ومتوسطة إماراتية العمليات</x:v>
      </x:c>
      <x:c r="F82" s="6" t="str">
        <x:v>نمو</x:v>
      </x:c>
      <x:c r="G82" s="6" t="str">
        <x:v>رأس مال نمو</x:v>
      </x:c>
      <x:c r="H82" s="6" t="str">
        <x:v>استثمار نمو مشروط</x:v>
      </x:c>
      <x:c r="I82" s="6" t="str">
        <x:v>info@egf.gov.ae</x:v>
      </x:c>
      <x:c r="J82" s="6" t="str">
        <x:v>غير متاح في المصادر المراجعة</x:v>
      </x:c>
      <x:c r="K82" s="6" t="str">
        <x:v>استفسارات عامة</x:v>
      </x:c>
      <x:c r="L82" s="14" t="e">
        <x:f>HYPERLINK("https://egf.gov.ae","egf.gov.ae")</x:f>
        <x:v>HYPERLINK is not implemented. linkLocation=https://egf.gov.ae, friendlyName=egf.gov.ae</x:v>
      </x:c>
      <x:c r="M82" s="14" t="e">
        <x:f>HYPERLINK("https://www.egf.gov.ae/en/contact-us/","egf.gov.ae")</x:f>
        <x:v>HYPERLINK is not implemented. linkLocation=https://www.egf.gov.ae/en/contact-us/, friendlyName=egf.gov.ae</x:v>
      </x:c>
      <x:c r="N82" s="6" t="str">
        <x:v>ملاءمة القطاع والمرحلة والنطاق الجغرافي؛ تأكيد مباشر</x:v>
      </x:c>
      <x:c r="O82" s="6" t="str">
        <x:v>غير مؤكد؛ راجع القناة المنشورة</x:v>
      </x:c>
      <x:c r="P82" s="13" t="str">
        <x:v>لم يتم التواصل</x:v>
      </x:c>
      <x:c r="Q82" s="6" t="str">
        <x:v>تأكيد جهة الاتصال والملاءمة ثم طلب متطلبات التقديم</x:v>
      </x:c>
      <x:c r="R82" s="6" t="str">
        <x:v>مدعوم من مصرف الإمارات للتنمية؛ يركز على النمو وليس تمويل الفكرة.</x:v>
      </x:c>
      <x:c r="S82" s="11" t="d">
        <x:v>2026-10-22T06:00:00.000Z</x:v>
      </x:c>
      <x:c r="T82" s="14" t="e">
        <x:f>HYPERLINK("https://www.egf.gov.ae/en/contact-us/","egf.gov.ae")</x:f>
        <x:v>HYPERLINK is not implemented. linkLocation=https://www.egf.gov.ae/en/contact-us/, friendlyName=egf.gov.ae</x:v>
      </x:c>
      <x:c r="U82" s="14" t="e">
        <x:f>HYPERLINK("https://www.egf.gov.ae/en/contact-us/","egf.gov.ae")</x:f>
        <x:v>HYPERLINK is not implemented. linkLocation=https://www.egf.gov.ae/en/contact-us/, friendlyName=egf.gov.ae</x:v>
      </x:c>
      <x:c r="V82" s="14" t="str">
        <x:v>غير متاح في المصادر المراجعة</x:v>
      </x:c>
      <x:c r="W82" s="6" t="str">
        <x:v>موقع الجهة أو قناة مرتبطة بها</x:v>
      </x:c>
      <x:c r="X82" s="6" t="str">
        <x:v>غير متاح في المصادر المراجعة</x:v>
      </x:c>
    </x:row>
    <x:row r="83" ht="45" customHeight="1">
      <x:c r="A83" s="10" t="str">
        <x:v>F078</x:v>
      </x:c>
      <x:c r="B83" s="6" t="str">
        <x:v>Emirates NBD</x:v>
      </x:c>
      <x:c r="C83" s="6" t="str">
        <x:v>بنك تجاري</x:v>
      </x:c>
      <x:c r="D83" s="6" t="str">
        <x:v>دبي / الإمارات</x:v>
      </x:c>
      <x:c r="E83" s="6" t="str">
        <x:v>أعمال ومنشآت صغيرة ومتوسطة</x:v>
      </x:c>
      <x:c r="F83" s="6" t="str">
        <x:v>شركات قائمة</x:v>
      </x:c>
      <x:c r="G83" s="6" t="str">
        <x:v>قروض وتسهيلات ائتمانية</x:v>
      </x:c>
      <x:c r="H83" s="6" t="str">
        <x:v>إقراض مشروط</x:v>
      </x:c>
      <x:c r="I83" s="6" t="str">
        <x:v>customercare@emiratesnbd.com</x:v>
      </x:c>
      <x:c r="J83" s="6" t="str">
        <x:v>+971 600 540009</x:v>
      </x:c>
      <x:c r="K83" s="6" t="str">
        <x:v>دعم / خدمة عملاء؛ اطلب التحويل</x:v>
      </x:c>
      <x:c r="L83" s="14" t="e">
        <x:f>HYPERLINK("https://emiratesnbd.com","emiratesnbd.com")</x:f>
        <x:v>HYPERLINK is not implemented. linkLocation=https://emiratesnbd.com, friendlyName=emiratesnbd.com</x:v>
      </x:c>
      <x:c r="M83" s="14" t="e">
        <x:f>HYPERLINK("https://www.emiratesnbd.com/en/help-and-support/contact-us","emiratesnbd.com")</x:f>
        <x:v>HYPERLINK is not implemented. linkLocation=https://www.emiratesnbd.com/en/help-and-support/contact-us, friendlyName=emiratesnbd.com</x:v>
      </x:c>
      <x:c r="N83" s="6" t="str">
        <x:v>رخصة ونشاط ومستندات مالية وتقييم ائتماني بحسب المنتج</x:v>
      </x:c>
      <x:c r="O83" s="6" t="str">
        <x:v>غير مؤكد؛ راجع القناة المنشورة</x:v>
      </x:c>
      <x:c r="P83" s="13" t="str">
        <x:v>لم يتم التواصل</x:v>
      </x:c>
      <x:c r="Q83" s="6" t="str">
        <x:v>تأكيد جهة الاتصال والملاءمة ثم طلب متطلبات التقديم</x:v>
      </x:c>
      <x:c r="R83" s="6" t="str"/>
      <x:c r="S83" s="11" t="d">
        <x:v>2026-10-22T06:00:00.000Z</x:v>
      </x:c>
      <x:c r="T83" s="14" t="e">
        <x:f>HYPERLINK("https://www.emiratesnbd.com/en/help-and-support/contact-us","emiratesnbd.com")</x:f>
        <x:v>HYPERLINK is not implemented. linkLocation=https://www.emiratesnbd.com/en/help-and-support/contact-us, friendlyName=emiratesnbd.com</x:v>
      </x:c>
      <x:c r="U83" s="14" t="e">
        <x:f>HYPERLINK("https://www.emiratesnbd.com/en/help-and-support/contact-us","emiratesnbd.com")</x:f>
        <x:v>HYPERLINK is not implemented. linkLocation=https://www.emiratesnbd.com/en/help-and-support/contact-us, friendlyName=emiratesnbd.com</x:v>
      </x:c>
      <x:c r="V83" s="14" t="e">
        <x:f>HYPERLINK("https://www.emiratesnbd.com/en/help-and-support/contact-us","emiratesnbd.com")</x:f>
        <x:v>HYPERLINK is not implemented. linkLocation=https://www.emiratesnbd.com/en/help-and-support/contact-us, friendlyName=emiratesnbd.com</x:v>
      </x:c>
      <x:c r="W83" s="6" t="str">
        <x:v>موقع الجهة أو قناة مرتبطة بها</x:v>
      </x:c>
      <x:c r="X83" s="6" t="str">
        <x:v>موقع الجهة أو قناة مرتبطة بها</x:v>
      </x:c>
    </x:row>
    <x:row r="84" ht="45" customHeight="1">
      <x:c r="A84" s="10" t="str">
        <x:v>F079</x:v>
      </x:c>
      <x:c r="B84" s="6" t="str">
        <x:v>Mashreq</x:v>
      </x:c>
      <x:c r="C84" s="6" t="str">
        <x:v>بنك تجاري</x:v>
      </x:c>
      <x:c r="D84" s="6" t="str">
        <x:v>دبي / الإمارات</x:v>
      </x:c>
      <x:c r="E84" s="6" t="str">
        <x:v>أعمال ومنشآت صغيرة ومتوسطة</x:v>
      </x:c>
      <x:c r="F84" s="6" t="str">
        <x:v>شركات قائمة</x:v>
      </x:c>
      <x:c r="G84" s="6" t="str">
        <x:v>قروض وتسهيلات ائتمانية</x:v>
      </x:c>
      <x:c r="H84" s="6" t="str">
        <x:v>إقراض مشروط</x:v>
      </x:c>
      <x:c r="I84" s="6" t="str">
        <x:v>غير متاح في المصادر المراجعة</x:v>
      </x:c>
      <x:c r="J84" s="6" t="str">
        <x:v>+971 4 424 4444</x:v>
      </x:c>
      <x:c r="K84" s="6" t="str">
        <x:v>نموذج / موقع الجهة</x:v>
      </x:c>
      <x:c r="L84" s="14" t="e">
        <x:f>HYPERLINK("https://mashreq.com","mashreq.com")</x:f>
        <x:v>HYPERLINK is not implemented. linkLocation=https://mashreq.com, friendlyName=mashreq.com</x:v>
      </x:c>
      <x:c r="M84" s="14" t="e">
        <x:f>HYPERLINK("https://www.mashreq.com/en/uae/customer-care/contact-us/","mashreq.com")</x:f>
        <x:v>HYPERLINK is not implemented. linkLocation=https://www.mashreq.com/en/uae/customer-care/contact-us/, friendlyName=mashreq.com</x:v>
      </x:c>
      <x:c r="N84" s="6" t="str">
        <x:v>رخصة ونشاط ومستندات مالية وتقييم ائتماني بحسب المنتج</x:v>
      </x:c>
      <x:c r="O84" s="6" t="str">
        <x:v>غير مؤكد؛ راجع القناة المنشورة</x:v>
      </x:c>
      <x:c r="P84" s="13" t="str">
        <x:v>لم يتم التواصل</x:v>
      </x:c>
      <x:c r="Q84" s="6" t="str">
        <x:v>تأكيد جهة الاتصال والملاءمة ثم طلب متطلبات التقديم</x:v>
      </x:c>
      <x:c r="R84" s="6" t="str"/>
      <x:c r="S84" s="11" t="d">
        <x:v>2026-10-22T06:00:00.000Z</x:v>
      </x:c>
      <x:c r="T84" s="14" t="e">
        <x:f>HYPERLINK("https://www.mashreq.com/en/uae/customer-care/contact-us/","mashreq.com")</x:f>
        <x:v>HYPERLINK is not implemented. linkLocation=https://www.mashreq.com/en/uae/customer-care/contact-us/, friendlyName=mashreq.com</x:v>
      </x:c>
      <x:c r="U84" s="14" t="str">
        <x:v>غير متاح في المصادر المراجعة</x:v>
      </x:c>
      <x:c r="V84" s="14" t="e">
        <x:f>HYPERLINK("https://www.mashreq.com/en/uae/customer-care/contact-us/","mashreq.com")</x:f>
        <x:v>HYPERLINK is not implemented. linkLocation=https://www.mashreq.com/en/uae/customer-care/contact-us/, friendlyName=mashreq.com</x:v>
      </x:c>
      <x:c r="W84" s="6" t="str">
        <x:v>غير متاح في المصادر المراجعة</x:v>
      </x:c>
      <x:c r="X84" s="6" t="str">
        <x:v>موقع الجهة أو قناة مرتبطة بها</x:v>
      </x:c>
    </x:row>
    <x:row r="85" ht="45" customHeight="1">
      <x:c r="A85" s="10" t="str">
        <x:v>F080</x:v>
      </x:c>
      <x:c r="B85" s="6" t="str">
        <x:v>RAKBANK</x:v>
      </x:c>
      <x:c r="C85" s="6" t="str">
        <x:v>بنك تجاري</x:v>
      </x:c>
      <x:c r="D85" s="6" t="str">
        <x:v>رأس الخيمة / الإمارات</x:v>
      </x:c>
      <x:c r="E85" s="6" t="str">
        <x:v>أعمال ومنشآت صغيرة ومتوسطة</x:v>
      </x:c>
      <x:c r="F85" s="6" t="str">
        <x:v>شركات قائمة</x:v>
      </x:c>
      <x:c r="G85" s="6" t="str">
        <x:v>قروض وتسهيلات ائتمانية</x:v>
      </x:c>
      <x:c r="H85" s="6" t="str">
        <x:v>إقراض مشروط</x:v>
      </x:c>
      <x:c r="I85" s="6" t="str">
        <x:v>businessbanking@rakbank.ae</x:v>
      </x:c>
      <x:c r="J85" s="6" t="str">
        <x:v>600 544049</x:v>
      </x:c>
      <x:c r="K85" s="6" t="str">
        <x:v>أعمال / مبيعات / تمويل</x:v>
      </x:c>
      <x:c r="L85" s="14" t="e">
        <x:f>HYPERLINK("https://rakbank.ae","rakbank.ae")</x:f>
        <x:v>HYPERLINK is not implemented. linkLocation=https://rakbank.ae, friendlyName=rakbank.ae</x:v>
      </x:c>
      <x:c r="M85" s="14" t="e">
        <x:f>HYPERLINK("https://www.rakbank.ae/en/contact-us","rakbank.ae")</x:f>
        <x:v>HYPERLINK is not implemented. linkLocation=https://www.rakbank.ae/en/contact-us, friendlyName=rakbank.ae</x:v>
      </x:c>
      <x:c r="N85" s="6" t="str">
        <x:v>رخصة ونشاط ومستندات مالية وتقييم ائتماني بحسب المنتج</x:v>
      </x:c>
      <x:c r="O85" s="6" t="str">
        <x:v>غير مؤكد؛ راجع القناة المنشورة</x:v>
      </x:c>
      <x:c r="P85" s="13" t="str">
        <x:v>لم يتم التواصل</x:v>
      </x:c>
      <x:c r="Q85" s="6" t="str">
        <x:v>تأكيد جهة الاتصال والملاءمة ثم طلب متطلبات التقديم</x:v>
      </x:c>
      <x:c r="R85" s="6" t="str"/>
      <x:c r="S85" s="11" t="d">
        <x:v>2026-10-22T06:00:00.000Z</x:v>
      </x:c>
      <x:c r="T85" s="14" t="e">
        <x:f>HYPERLINK("https://www.rakbank.ae/en/contact-us","rakbank.ae")</x:f>
        <x:v>HYPERLINK is not implemented. linkLocation=https://www.rakbank.ae/en/contact-us, friendlyName=rakbank.ae</x:v>
      </x:c>
      <x:c r="U85" s="14" t="e">
        <x:f>HYPERLINK("https://www.rakbank.ae/en/contact-us","rakbank.ae")</x:f>
        <x:v>HYPERLINK is not implemented. linkLocation=https://www.rakbank.ae/en/contact-us, friendlyName=rakbank.ae</x:v>
      </x:c>
      <x:c r="V85" s="14" t="e">
        <x:f>HYPERLINK("https://www.rakbank.ae/en/islamic/contact-us","rakbank.ae")</x:f>
        <x:v>HYPERLINK is not implemented. linkLocation=https://www.rakbank.ae/en/islamic/contact-us, friendlyName=rakbank.ae</x:v>
      </x:c>
      <x:c r="W85" s="6" t="str">
        <x:v>موقع الجهة أو قناة مرتبطة بها</x:v>
      </x:c>
      <x:c r="X85" s="6" t="str">
        <x:v>موقع الجهة أو قناة مرتبطة بها</x:v>
      </x:c>
    </x:row>
    <x:row r="86" ht="45" customHeight="1">
      <x:c r="A86" s="10" t="str">
        <x:v>F081</x:v>
      </x:c>
      <x:c r="B86" s="6" t="str">
        <x:v>First Abu Dhabi Bank</x:v>
      </x:c>
      <x:c r="C86" s="6" t="str">
        <x:v>بنك تجاري</x:v>
      </x:c>
      <x:c r="D86" s="6" t="str">
        <x:v>أبوظبي / الإمارات</x:v>
      </x:c>
      <x:c r="E86" s="6" t="str">
        <x:v>أعمال ومنشآت صغيرة ومتوسطة</x:v>
      </x:c>
      <x:c r="F86" s="6" t="str">
        <x:v>شركات قائمة</x:v>
      </x:c>
      <x:c r="G86" s="6" t="str">
        <x:v>قروض وتسهيلات ائتمانية</x:v>
      </x:c>
      <x:c r="H86" s="6" t="str">
        <x:v>إقراض مشروط</x:v>
      </x:c>
      <x:c r="I86" s="6" t="str">
        <x:v>gcf@bankfab.com</x:v>
      </x:c>
      <x:c r="J86" s="6" t="str">
        <x:v>غير متاح في المصادر المراجعة</x:v>
      </x:c>
      <x:c r="K86" s="6" t="str">
        <x:v>أعمال / مبيعات / تمويل</x:v>
      </x:c>
      <x:c r="L86" s="14" t="e">
        <x:f>HYPERLINK("https://bankfab.com","bankfab.com")</x:f>
        <x:v>HYPERLINK is not implemented. linkLocation=https://bankfab.com, friendlyName=bankfab.com</x:v>
      </x:c>
      <x:c r="M86" s="14" t="e">
        <x:f>HYPERLINK("https://www.bankfab.com/en-ae/contact-us","bankfab.com")</x:f>
        <x:v>HYPERLINK is not implemented. linkLocation=https://www.bankfab.com/en-ae/contact-us, friendlyName=bankfab.com</x:v>
      </x:c>
      <x:c r="N86" s="6" t="str">
        <x:v>رخصة ونشاط ومستندات مالية وتقييم ائتماني بحسب المنتج</x:v>
      </x:c>
      <x:c r="O86" s="6" t="str">
        <x:v>غير مؤكد؛ راجع القناة المنشورة</x:v>
      </x:c>
      <x:c r="P86" s="13" t="str">
        <x:v>لم يتم التواصل</x:v>
      </x:c>
      <x:c r="Q86" s="6" t="str">
        <x:v>تأكيد جهة الاتصال والملاءمة ثم طلب متطلبات التقديم</x:v>
      </x:c>
      <x:c r="R86" s="6" t="str">
        <x:v>البريد لقسم تمويل الشركات؛ تحقق من إحالة الطلب إلى فريق المنشآت الصغيرة.</x:v>
      </x:c>
      <x:c r="S86" s="11" t="d">
        <x:v>2026-10-22T06:00:00.000Z</x:v>
      </x:c>
      <x:c r="T86" s="14" t="e">
        <x:f>HYPERLINK("https://www.bankfab.com/en-ae/contact-us","bankfab.com")</x:f>
        <x:v>HYPERLINK is not implemented. linkLocation=https://www.bankfab.com/en-ae/contact-us, friendlyName=bankfab.com</x:v>
      </x:c>
      <x:c r="U86" s="14" t="e">
        <x:f>HYPERLINK("https://www.bankfab.com/en-ae/contact-us","bankfab.com")</x:f>
        <x:v>HYPERLINK is not implemented. linkLocation=https://www.bankfab.com/en-ae/contact-us, friendlyName=bankfab.com</x:v>
      </x:c>
      <x:c r="V86" s="14" t="str">
        <x:v>غير متاح في المصادر المراجعة</x:v>
      </x:c>
      <x:c r="W86" s="6" t="str">
        <x:v>موقع الجهة أو قناة مرتبطة بها</x:v>
      </x:c>
      <x:c r="X86" s="6" t="str">
        <x:v>غير متاح في المصادر المراجعة</x:v>
      </x:c>
    </x:row>
    <x:row r="87" ht="45" customHeight="1">
      <x:c r="A87" s="10" t="str">
        <x:v>F082</x:v>
      </x:c>
      <x:c r="B87" s="6" t="str">
        <x:v>Abu Dhabi Commercial Bank</x:v>
      </x:c>
      <x:c r="C87" s="6" t="str">
        <x:v>بنك تجاري</x:v>
      </x:c>
      <x:c r="D87" s="6" t="str">
        <x:v>أبوظبي / الإمارات</x:v>
      </x:c>
      <x:c r="E87" s="6" t="str">
        <x:v>أعمال ومنشآت صغيرة ومتوسطة</x:v>
      </x:c>
      <x:c r="F87" s="6" t="str">
        <x:v>شركات قائمة</x:v>
      </x:c>
      <x:c r="G87" s="6" t="str">
        <x:v>قروض وتسهيلات ائتمانية</x:v>
      </x:c>
      <x:c r="H87" s="6" t="str">
        <x:v>إقراض مشروط</x:v>
      </x:c>
      <x:c r="I87" s="6" t="str">
        <x:v>adcbbusiness@adcb.com</x:v>
      </x:c>
      <x:c r="J87" s="6" t="str">
        <x:v>600 547779</x:v>
      </x:c>
      <x:c r="K87" s="6" t="str">
        <x:v>دعم / خدمة عملاء؛ اطلب التحويل</x:v>
      </x:c>
      <x:c r="L87" s="14" t="e">
        <x:f>HYPERLINK("https://adcb.com","adcb.com")</x:f>
        <x:v>HYPERLINK is not implemented. linkLocation=https://adcb.com, friendlyName=adcb.com</x:v>
      </x:c>
      <x:c r="M87" s="14" t="e">
        <x:f>HYPERLINK("https://www.adcb.com/en/get-in-touch/call-us/","adcb.com")</x:f>
        <x:v>HYPERLINK is not implemented. linkLocation=https://www.adcb.com/en/get-in-touch/call-us/, friendlyName=adcb.com</x:v>
      </x:c>
      <x:c r="N87" s="6" t="str">
        <x:v>رخصة ونشاط ومستندات مالية وتقييم ائتماني بحسب المنتج</x:v>
      </x:c>
      <x:c r="O87" s="6" t="str">
        <x:v>غير مؤكد؛ راجع القناة المنشورة</x:v>
      </x:c>
      <x:c r="P87" s="13" t="str">
        <x:v>لم يتم التواصل</x:v>
      </x:c>
      <x:c r="Q87" s="6" t="str">
        <x:v>تأكيد جهة الاتصال والملاءمة ثم طلب متطلبات التقديم</x:v>
      </x:c>
      <x:c r="R87" s="6" t="str"/>
      <x:c r="S87" s="11" t="d">
        <x:v>2026-10-22T06:00:00.000Z</x:v>
      </x:c>
      <x:c r="T87" s="14" t="e">
        <x:f>HYPERLINK("https://www.adcb.com/en/get-in-touch/call-us/","adcb.com")</x:f>
        <x:v>HYPERLINK is not implemented. linkLocation=https://www.adcb.com/en/get-in-touch/call-us/, friendlyName=adcb.com</x:v>
      </x:c>
      <x:c r="U87" s="14" t="e">
        <x:f>HYPERLINK("https://play.google.com/store/apps/details?hl=en_US&amp;id=com.adcb.business","play.google.com")</x:f>
        <x:v>HYPERLINK is not implemented. linkLocation=https://play.google.com/store/apps/details?hl=en_US&amp;id=com.adcb.business, friendlyName=play.google.com</x:v>
      </x:c>
      <x:c r="V87" s="14" t="e">
        <x:f>HYPERLINK("https://www.adcb.com/en/get-in-touch/call-us/","adcb.com")</x:f>
        <x:v>HYPERLINK is not implemented. linkLocation=https://www.adcb.com/en/get-in-touch/call-us/, friendlyName=adcb.com</x:v>
      </x:c>
      <x:c r="W87" s="6" t="str">
        <x:v>قائمة تطبيق ينشرها المطور</x:v>
      </x:c>
      <x:c r="X87" s="6" t="str">
        <x:v>موقع الجهة أو قناة مرتبطة بها</x:v>
      </x:c>
    </x:row>
    <x:row r="88" ht="45" customHeight="1">
      <x:c r="A88" s="10" t="str">
        <x:v>F083</x:v>
      </x:c>
      <x:c r="B88" s="6" t="str">
        <x:v>Abu Dhabi Islamic Bank</x:v>
      </x:c>
      <x:c r="C88" s="6" t="str">
        <x:v>بنك إسلامي</x:v>
      </x:c>
      <x:c r="D88" s="6" t="str">
        <x:v>أبوظبي / الإمارات</x:v>
      </x:c>
      <x:c r="E88" s="6" t="str">
        <x:v>أعمال ومنشآت صغيرة ومتوسطة</x:v>
      </x:c>
      <x:c r="F88" s="6" t="str">
        <x:v>شركات قائمة</x:v>
      </x:c>
      <x:c r="G88" s="6" t="str">
        <x:v>تمويل إسلامي وتسهيلات</x:v>
      </x:c>
      <x:c r="H88" s="6" t="str">
        <x:v>إقراض مشروط</x:v>
      </x:c>
      <x:c r="I88" s="6" t="str">
        <x:v>adibusiness@adib.ae</x:v>
      </x:c>
      <x:c r="J88" s="6" t="str">
        <x:v>+971 2 657 8777</x:v>
      </x:c>
      <x:c r="K88" s="6" t="str">
        <x:v>أعمال / مبيعات / تمويل</x:v>
      </x:c>
      <x:c r="L88" s="14" t="e">
        <x:f>HYPERLINK("https://adib.ae","adib.ae")</x:f>
        <x:v>HYPERLINK is not implemented. linkLocation=https://adib.ae, friendlyName=adib.ae</x:v>
      </x:c>
      <x:c r="M88" s="14" t="e">
        <x:f>HYPERLINK("https://www.adib.ae/en/pages/contact-us","adib.ae")</x:f>
        <x:v>HYPERLINK is not implemented. linkLocation=https://www.adib.ae/en/pages/contact-us, friendlyName=adib.ae</x:v>
      </x:c>
      <x:c r="N88" s="6" t="str">
        <x:v>رخصة ونشاط ومستندات مالية وتقييم ائتماني بحسب المنتج</x:v>
      </x:c>
      <x:c r="O88" s="6" t="str">
        <x:v>غير مؤكد؛ راجع القناة المنشورة</x:v>
      </x:c>
      <x:c r="P88" s="13" t="str">
        <x:v>لم يتم التواصل</x:v>
      </x:c>
      <x:c r="Q88" s="6" t="str">
        <x:v>تأكيد جهة الاتصال والملاءمة ثم طلب متطلبات التقديم</x:v>
      </x:c>
      <x:c r="R88" s="6" t="str"/>
      <x:c r="S88" s="11" t="d">
        <x:v>2026-10-22T06:00:00.000Z</x:v>
      </x:c>
      <x:c r="T88" s="14" t="e">
        <x:f>HYPERLINK("https://www.adib.ae/en/pages/contact-us","adib.ae")</x:f>
        <x:v>HYPERLINK is not implemented. linkLocation=https://www.adib.ae/en/pages/contact-us, friendlyName=adib.ae</x:v>
      </x:c>
      <x:c r="U88" s="14" t="e">
        <x:f>HYPERLINK("https://www.adib.ae/en/pages/contact-us","adib.ae")</x:f>
        <x:v>HYPERLINK is not implemented. linkLocation=https://www.adib.ae/en/pages/contact-us, friendlyName=adib.ae</x:v>
      </x:c>
      <x:c r="V88" s="14" t="e">
        <x:f>HYPERLINK("https://www.adib.ae/en/pages/contact-us","adib.ae")</x:f>
        <x:v>HYPERLINK is not implemented. linkLocation=https://www.adib.ae/en/pages/contact-us, friendlyName=adib.ae</x:v>
      </x:c>
      <x:c r="W88" s="6" t="str">
        <x:v>موقع الجهة أو قناة مرتبطة بها</x:v>
      </x:c>
      <x:c r="X88" s="6" t="str">
        <x:v>موقع الجهة أو قناة مرتبطة بها</x:v>
      </x:c>
    </x:row>
    <x:row r="89" ht="45" customHeight="1">
      <x:c r="A89" s="10" t="str">
        <x:v>F084</x:v>
      </x:c>
      <x:c r="B89" s="6" t="str">
        <x:v>Dubai Islamic Bank</x:v>
      </x:c>
      <x:c r="C89" s="6" t="str">
        <x:v>بنك إسلامي</x:v>
      </x:c>
      <x:c r="D89" s="6" t="str">
        <x:v>دبي / الإمارات</x:v>
      </x:c>
      <x:c r="E89" s="6" t="str">
        <x:v>أعمال ومنشآت صغيرة ومتوسطة</x:v>
      </x:c>
      <x:c r="F89" s="6" t="str">
        <x:v>شركات قائمة</x:v>
      </x:c>
      <x:c r="G89" s="6" t="str">
        <x:v>تمويل إسلامي وتسهيلات</x:v>
      </x:c>
      <x:c r="H89" s="6" t="str">
        <x:v>إقراض مشروط</x:v>
      </x:c>
      <x:c r="I89" s="6" t="str">
        <x:v>businessonline@dib.ae</x:v>
      </x:c>
      <x:c r="J89" s="6" t="str">
        <x:v>+971 4 609 2525</x:v>
      </x:c>
      <x:c r="K89" s="6" t="str">
        <x:v>دعم / خدمة عملاء؛ اطلب التحويل</x:v>
      </x:c>
      <x:c r="L89" s="14" t="e">
        <x:f>HYPERLINK("https://dib.ae","dib.ae")</x:f>
        <x:v>HYPERLINK is not implemented. linkLocation=https://dib.ae, friendlyName=dib.ae</x:v>
      </x:c>
      <x:c r="M89" s="14" t="e">
        <x:f>HYPERLINK("https://online.dib.ae/StaticContents/BankingServicesAgreement-enUs.html","online.dib.ae")</x:f>
        <x:v>HYPERLINK is not implemented. linkLocation=https://online.dib.ae/StaticContents/BankingServicesAgreement-enUs.html, friendlyName=online.dib.ae</x:v>
      </x:c>
      <x:c r="N89" s="6" t="str">
        <x:v>رخصة ونشاط ومستندات مالية وتقييم ائتماني بحسب المنتج</x:v>
      </x:c>
      <x:c r="O89" s="6" t="str">
        <x:v>غير مؤكد؛ راجع القناة المنشورة</x:v>
      </x:c>
      <x:c r="P89" s="13" t="str">
        <x:v>لم يتم التواصل</x:v>
      </x:c>
      <x:c r="Q89" s="6" t="str">
        <x:v>تأكيد جهة الاتصال والملاءمة ثم طلب متطلبات التقديم</x:v>
      </x:c>
      <x:c r="R89" s="6" t="str"/>
      <x:c r="S89" s="11" t="d">
        <x:v>2026-10-22T06:00:00.000Z</x:v>
      </x:c>
      <x:c r="T89" s="14" t="e">
        <x:f>HYPERLINK("https://online.dib.ae/StaticContents/BankingServicesAgreement-enUs.html","online.dib.ae")</x:f>
        <x:v>HYPERLINK is not implemented. linkLocation=https://online.dib.ae/StaticContents/BankingServicesAgreement-enUs.html, friendlyName=online.dib.ae</x:v>
      </x:c>
      <x:c r="U89" s="14" t="e">
        <x:f>HYPERLINK("https://play.google.com/store/apps/details?id=ae.dib.smartapp","play.google.com")</x:f>
        <x:v>HYPERLINK is not implemented. linkLocation=https://play.google.com/store/apps/details?id=ae.dib.smartapp, friendlyName=play.google.com</x:v>
      </x:c>
      <x:c r="V89" s="14" t="e">
        <x:f>HYPERLINK("https://play.google.com/store/apps/details?id=ae.dib.smartapp","play.google.com")</x:f>
        <x:v>HYPERLINK is not implemented. linkLocation=https://play.google.com/store/apps/details?id=ae.dib.smartapp, friendlyName=play.google.com</x:v>
      </x:c>
      <x:c r="W89" s="6" t="str">
        <x:v>قائمة تطبيق ينشرها المطور</x:v>
      </x:c>
      <x:c r="X89" s="6" t="str">
        <x:v>قائمة تطبيق ينشرها المطور</x:v>
      </x:c>
    </x:row>
    <x:row r="90" ht="45" customHeight="1">
      <x:c r="A90" s="10" t="str">
        <x:v>F085</x:v>
      </x:c>
      <x:c r="B90" s="6" t="str">
        <x:v>Emirates Islamic</x:v>
      </x:c>
      <x:c r="C90" s="6" t="str">
        <x:v>بنك إسلامي</x:v>
      </x:c>
      <x:c r="D90" s="6" t="str">
        <x:v>دبي / الإمارات</x:v>
      </x:c>
      <x:c r="E90" s="6" t="str">
        <x:v>أعمال ومنشآت صغيرة ومتوسطة</x:v>
      </x:c>
      <x:c r="F90" s="6" t="str">
        <x:v>شركات قائمة</x:v>
      </x:c>
      <x:c r="G90" s="6" t="str">
        <x:v>تمويل إسلامي وتسهيلات</x:v>
      </x:c>
      <x:c r="H90" s="6" t="str">
        <x:v>إقراض مشروط</x:v>
      </x:c>
      <x:c r="I90" s="6" t="str">
        <x:v>helpdeskbusinessbanking@emiratesislamic.ae</x:v>
      </x:c>
      <x:c r="J90" s="6" t="str">
        <x:v>+971 600 570003</x:v>
      </x:c>
      <x:c r="K90" s="6" t="str">
        <x:v>أعمال / مبيعات / تمويل</x:v>
      </x:c>
      <x:c r="L90" s="14" t="e">
        <x:f>HYPERLINK("https://emiratesislamic.ae","emiratesislamic.ae")</x:f>
        <x:v>HYPERLINK is not implemented. linkLocation=https://emiratesislamic.ae, friendlyName=emiratesislamic.ae</x:v>
      </x:c>
      <x:c r="M90" s="14" t="e">
        <x:f>HYPERLINK("https://www.emiratesislamic.ae/en/help-and-support/contact-us","emiratesislamic.ae")</x:f>
        <x:v>HYPERLINK is not implemented. linkLocation=https://www.emiratesislamic.ae/en/help-and-support/contact-us, friendlyName=emiratesislamic.ae</x:v>
      </x:c>
      <x:c r="N90" s="6" t="str">
        <x:v>رخصة ونشاط ومستندات مالية وتقييم ائتماني بحسب المنتج</x:v>
      </x:c>
      <x:c r="O90" s="6" t="str">
        <x:v>غير مؤكد؛ راجع القناة المنشورة</x:v>
      </x:c>
      <x:c r="P90" s="13" t="str">
        <x:v>لم يتم التواصل</x:v>
      </x:c>
      <x:c r="Q90" s="6" t="str">
        <x:v>تأكيد جهة الاتصال والملاءمة ثم طلب متطلبات التقديم</x:v>
      </x:c>
      <x:c r="R90" s="6" t="str"/>
      <x:c r="S90" s="11" t="d">
        <x:v>2026-10-22T06:00:00.000Z</x:v>
      </x:c>
      <x:c r="T90" s="14" t="e">
        <x:f>HYPERLINK("https://www.emiratesislamic.ae/en/help-and-support/contact-us","emiratesislamic.ae")</x:f>
        <x:v>HYPERLINK is not implemented. linkLocation=https://www.emiratesislamic.ae/en/help-and-support/contact-us, friendlyName=emiratesislamic.ae</x:v>
      </x:c>
      <x:c r="U90" s="14" t="e">
        <x:f>HYPERLINK("https://www.emiratesislamic.ae/en/business-banking/locations","emiratesislamic.ae")</x:f>
        <x:v>HYPERLINK is not implemented. linkLocation=https://www.emiratesislamic.ae/en/business-banking/locations, friendlyName=emiratesislamic.ae</x:v>
      </x:c>
      <x:c r="V90" s="14" t="e">
        <x:f>HYPERLINK("https://www.emiratesislamic.ae/en/help-and-support/contact-us","emiratesislamic.ae")</x:f>
        <x:v>HYPERLINK is not implemented. linkLocation=https://www.emiratesislamic.ae/en/help-and-support/contact-us, friendlyName=emiratesislamic.ae</x:v>
      </x:c>
      <x:c r="W90" s="6" t="str">
        <x:v>موقع الجهة أو قناة مرتبطة بها</x:v>
      </x:c>
      <x:c r="X90" s="6" t="str">
        <x:v>موقع الجهة أو قناة مرتبطة بها</x:v>
      </x:c>
    </x:row>
    <x:row r="91" ht="45" customHeight="1">
      <x:c r="A91" s="10" t="str">
        <x:v>F086</x:v>
      </x:c>
      <x:c r="B91" s="6" t="str">
        <x:v>Commercial Bank of Dubai</x:v>
      </x:c>
      <x:c r="C91" s="6" t="str">
        <x:v>بنك تجاري</x:v>
      </x:c>
      <x:c r="D91" s="6" t="str">
        <x:v>دبي / الإمارات</x:v>
      </x:c>
      <x:c r="E91" s="6" t="str">
        <x:v>أعمال ومنشآت صغيرة ومتوسطة</x:v>
      </x:c>
      <x:c r="F91" s="6" t="str">
        <x:v>شركات قائمة</x:v>
      </x:c>
      <x:c r="G91" s="6" t="str">
        <x:v>قروض وتسهيلات ائتمانية</x:v>
      </x:c>
      <x:c r="H91" s="6" t="str">
        <x:v>إقراض مشروط</x:v>
      </x:c>
      <x:c r="I91" s="6" t="str">
        <x:v>customercare@cbd.ae</x:v>
      </x:c>
      <x:c r="J91" s="6" t="str">
        <x:v>+971 600 575556</x:v>
      </x:c>
      <x:c r="K91" s="6" t="str">
        <x:v>دعم / خدمة عملاء؛ اطلب التحويل</x:v>
      </x:c>
      <x:c r="L91" s="14" t="e">
        <x:f>HYPERLINK("https://cbd.ae","cbd.ae")</x:f>
        <x:v>HYPERLINK is not implemented. linkLocation=https://cbd.ae, friendlyName=cbd.ae</x:v>
      </x:c>
      <x:c r="M91" s="14" t="e">
        <x:f>HYPERLINK("https://www.cbd.ae/home/contact-us/careers","cbd.ae")</x:f>
        <x:v>HYPERLINK is not implemented. linkLocation=https://www.cbd.ae/home/contact-us/careers, friendlyName=cbd.ae</x:v>
      </x:c>
      <x:c r="N91" s="6" t="str">
        <x:v>رخصة ونشاط ومستندات مالية وتقييم ائتماني بحسب المنتج</x:v>
      </x:c>
      <x:c r="O91" s="6" t="str">
        <x:v>غير مؤكد؛ راجع القناة المنشورة</x:v>
      </x:c>
      <x:c r="P91" s="13" t="str">
        <x:v>لم يتم التواصل</x:v>
      </x:c>
      <x:c r="Q91" s="6" t="str">
        <x:v>تأكيد جهة الاتصال والملاءمة ثم طلب متطلبات التقديم</x:v>
      </x:c>
      <x:c r="R91" s="6" t="str"/>
      <x:c r="S91" s="11" t="d">
        <x:v>2026-10-22T06:00:00.000Z</x:v>
      </x:c>
      <x:c r="T91" s="14" t="e">
        <x:f>HYPERLINK("https://www.cbd.ae/docs/default-source/default-document-library/customer-service-charter--5th-oct-2021.pdf?Status=Temp&amp;sfvrsn=f83f466b_2","cbd.ae")</x:f>
        <x:v>HYPERLINK is not implemented. linkLocation=https://www.cbd.ae/docs/default-source/default-document-library/customer-service-charter--5th-oct-2021.pdf?Status=Temp&amp;sfvrsn=f83f466b_2, friendlyName=cbd.ae</x:v>
      </x:c>
      <x:c r="U91" s="14" t="e">
        <x:f>HYPERLINK("https://www.cbd.ae/docs/default-source/default-document-library/customer-service-charter--5th-oct-2021.pdf?Status=Temp&amp;sfvrsn=f83f466b_2","cbd.ae")</x:f>
        <x:v>HYPERLINK is not implemented. linkLocation=https://www.cbd.ae/docs/default-source/default-document-library/customer-service-charter--5th-oct-2021.pdf?Status=Temp&amp;sfvrsn=f83f466b_2, friendlyName=cbd.ae</x:v>
      </x:c>
      <x:c r="V91" s="14" t="e">
        <x:f>HYPERLINK("https://www.cbd.ae/docs/default-source/default-document-library/customer-service-charter--5th-oct-2021.pdf?Status=Temp&amp;sfvrsn=f83f466b_2","cbd.ae")</x:f>
        <x:v>HYPERLINK is not implemented. linkLocation=https://www.cbd.ae/docs/default-source/default-document-library/customer-service-charter--5th-oct-2021.pdf?Status=Temp&amp;sfvrsn=f83f466b_2, friendlyName=cbd.ae</x:v>
      </x:c>
      <x:c r="W91" s="6" t="str">
        <x:v>موقع الجهة أو قناة مرتبطة بها</x:v>
      </x:c>
      <x:c r="X91" s="6" t="str">
        <x:v>موقع الجهة أو قناة مرتبطة بها</x:v>
      </x:c>
    </x:row>
    <x:row r="92" ht="45" customHeight="1">
      <x:c r="A92" s="10" t="str">
        <x:v>F087</x:v>
      </x:c>
      <x:c r="B92" s="6" t="str">
        <x:v>Wio Bank</x:v>
      </x:c>
      <x:c r="C92" s="6" t="str">
        <x:v>بنك رقمي</x:v>
      </x:c>
      <x:c r="D92" s="6" t="str">
        <x:v>أبوظبي / الإمارات</x:v>
      </x:c>
      <x:c r="E92" s="6" t="str">
        <x:v>أعمال ومنشآت صغيرة ومتوسطة</x:v>
      </x:c>
      <x:c r="F92" s="6" t="str">
        <x:v>حسب المنتج</x:v>
      </x:c>
      <x:c r="G92" s="6" t="str">
        <x:v>خدمات مصرفية وائتمان أعمال</x:v>
      </x:c>
      <x:c r="H92" s="6" t="str">
        <x:v>خاضع لتوافر المنتج والتقييم</x:v>
      </x:c>
      <x:c r="I92" s="6" t="str">
        <x:v>care@wio.io</x:v>
      </x:c>
      <x:c r="J92" s="6" t="str">
        <x:v>600 500946</x:v>
      </x:c>
      <x:c r="K92" s="6" t="str">
        <x:v>دعم / خدمة عملاء؛ اطلب التحويل</x:v>
      </x:c>
      <x:c r="L92" s="14" t="e">
        <x:f>HYPERLINK("https://wio.io","wio.io")</x:f>
        <x:v>HYPERLINK is not implemented. linkLocation=https://wio.io, friendlyName=wio.io</x:v>
      </x:c>
      <x:c r="M92" s="14" t="e">
        <x:f>HYPERLINK("https://desk.wio.io/support/solutions/articles/501000414626-wio-business-wiopay-online-payments-payment-links-guide","desk.wio.io")</x:f>
        <x:v>HYPERLINK is not implemented. linkLocation=https://desk.wio.io/support/solutions/articles/501000414626-wio-business-wiopay-online-payments-payment-links-guide, friendlyName=desk.wio.io</x:v>
      </x:c>
      <x:c r="N92" s="6" t="str">
        <x:v>رخصة ونشاط ومستندات مالية وتقييم ائتماني بحسب المنتج</x:v>
      </x:c>
      <x:c r="O92" s="6" t="str">
        <x:v>غير مؤكد؛ راجع القناة المنشورة</x:v>
      </x:c>
      <x:c r="P92" s="13" t="str">
        <x:v>لم يتم التواصل</x:v>
      </x:c>
      <x:c r="Q92" s="6" t="str">
        <x:v>تأكيد جهة الاتصال والملاءمة ثم طلب متطلبات التقديم</x:v>
      </x:c>
      <x:c r="R92" s="6" t="str"/>
      <x:c r="S92" s="11" t="d">
        <x:v>2026-10-22T06:00:00.000Z</x:v>
      </x:c>
      <x:c r="T92" s="14" t="e">
        <x:f>HYPERLINK("https://wio.io/business","wio.io")</x:f>
        <x:v>HYPERLINK is not implemented. linkLocation=https://wio.io/business, friendlyName=wio.io</x:v>
      </x:c>
      <x:c r="U92" s="14" t="e">
        <x:f>HYPERLINK("https://downloads.ctfassets.net/l65m9bcr2nac/4IOMAncr4kcfGjIIOwHumC/6ca32c2c59434b23b0fc38467f842b67/KFS-v4-personal-EN.pdf","downloads.ctfassets.net")</x:f>
        <x:v>HYPERLINK is not implemented. linkLocation=https://downloads.ctfassets.net/l65m9bcr2nac/4IOMAncr4kcfGjIIOwHumC/6ca32c2c59434b23b0fc38467f842b67/KFS-v4-personal-EN.pdf, friendlyName=downloads.ctfassets.net</x:v>
      </x:c>
      <x:c r="V92" s="14" t="e">
        <x:f>HYPERLINK("https://desk.wio.io/support/solutions/articles/501000414626-wio-business-wiopay-online-payments-payment-links-guide","desk.wio.io")</x:f>
        <x:v>HYPERLINK is not implemented. linkLocation=https://desk.wio.io/support/solutions/articles/501000414626-wio-business-wiopay-online-payments-payment-links-guide, friendlyName=desk.wio.io</x:v>
      </x:c>
      <x:c r="W92" s="6" t="str">
        <x:v>مصدر ثانوي؛ يلزم تأكيد مباشر</x:v>
      </x:c>
      <x:c r="X92" s="6" t="str">
        <x:v>موقع الجهة أو قناة مرتبطة بها</x:v>
      </x:c>
    </x:row>
    <x:row r="93" ht="45" customHeight="1">
      <x:c r="A93" s="10" t="str">
        <x:v>F088</x:v>
      </x:c>
      <x:c r="B93" s="6" t="str">
        <x:v>Zand Bank</x:v>
      </x:c>
      <x:c r="C93" s="6" t="str">
        <x:v>بنك رقمي</x:v>
      </x:c>
      <x:c r="D93" s="6" t="str">
        <x:v>دبي / الإمارات</x:v>
      </x:c>
      <x:c r="E93" s="6" t="str">
        <x:v>شركات وتقنية مالية</x:v>
      </x:c>
      <x:c r="F93" s="6" t="str">
        <x:v>حسب المنتج</x:v>
      </x:c>
      <x:c r="G93" s="6" t="str">
        <x:v>خدمات مصرفية وتمويل شركات</x:v>
      </x:c>
      <x:c r="H93" s="6" t="str">
        <x:v>خاضع لتوافر المنتج والتقييم</x:v>
      </x:c>
      <x:c r="I93" s="6" t="str">
        <x:v>customerservice@zand.ae</x:v>
      </x:c>
      <x:c r="J93" s="6" t="str">
        <x:v>+971 600 502328</x:v>
      </x:c>
      <x:c r="K93" s="6" t="str">
        <x:v>دعم / خدمة عملاء؛ اطلب التحويل</x:v>
      </x:c>
      <x:c r="L93" s="14" t="e">
        <x:f>HYPERLINK("https://zand.ae","zand.ae")</x:f>
        <x:v>HYPERLINK is not implemented. linkLocation=https://zand.ae, friendlyName=zand.ae</x:v>
      </x:c>
      <x:c r="M93" s="14" t="e">
        <x:f>HYPERLINK("https://www.zand.ae/en/contact-us","zand.ae")</x:f>
        <x:v>HYPERLINK is not implemented. linkLocation=https://www.zand.ae/en/contact-us, friendlyName=zand.ae</x:v>
      </x:c>
      <x:c r="N93" s="6" t="str">
        <x:v>رخصة ونشاط ومستندات مالية وتقييم ائتماني بحسب المنتج</x:v>
      </x:c>
      <x:c r="O93" s="6" t="str">
        <x:v>غير مؤكد؛ راجع القناة المنشورة</x:v>
      </x:c>
      <x:c r="P93" s="13" t="str">
        <x:v>لم يتم التواصل</x:v>
      </x:c>
      <x:c r="Q93" s="6" t="str">
        <x:v>تأكيد جهة الاتصال والملاءمة ثم طلب متطلبات التقديم</x:v>
      </x:c>
      <x:c r="R93" s="6" t="str"/>
      <x:c r="S93" s="11" t="d">
        <x:v>2026-10-22T06:00:00.000Z</x:v>
      </x:c>
      <x:c r="T93" s="14" t="e">
        <x:f>HYPERLINK("https://www.zand.ae/en/contact-us","zand.ae")</x:f>
        <x:v>HYPERLINK is not implemented. linkLocation=https://www.zand.ae/en/contact-us, friendlyName=zand.ae</x:v>
      </x:c>
      <x:c r="U93" s="14" t="e">
        <x:f>HYPERLINK("https://www.zand.ae/en/contact-us","zand.ae")</x:f>
        <x:v>HYPERLINK is not implemented. linkLocation=https://www.zand.ae/en/contact-us, friendlyName=zand.ae</x:v>
      </x:c>
      <x:c r="V93" s="14" t="e">
        <x:f>HYPERLINK("https://www.zand.ae/en/contact-us","zand.ae")</x:f>
        <x:v>HYPERLINK is not implemented. linkLocation=https://www.zand.ae/en/contact-us, friendlyName=zand.ae</x:v>
      </x:c>
      <x:c r="W93" s="6" t="str">
        <x:v>موقع الجهة أو قناة مرتبطة بها</x:v>
      </x:c>
      <x:c r="X93" s="6" t="str">
        <x:v>موقع الجهة أو قناة مرتبطة بها</x:v>
      </x:c>
    </x:row>
    <x:row r="94" ht="45" customHeight="1">
      <x:c r="A94" s="10" t="str">
        <x:v>F089</x:v>
      </x:c>
      <x:c r="B94" s="6" t="str">
        <x:v>e&amp; capital</x:v>
      </x:c>
      <x:c r="C94" s="6" t="str">
        <x:v>رأس مال جريء مؤسسي</x:v>
      </x:c>
      <x:c r="D94" s="6" t="str">
        <x:v>أبوظبي</x:v>
      </x:c>
      <x:c r="E94" s="6" t="str">
        <x:v>تقنية وأعمال رقمية</x:v>
      </x:c>
      <x:c r="F94" s="6" t="str">
        <x:v>مبكرة ونمو</x:v>
      </x:c>
      <x:c r="G94" s="6" t="str">
        <x:v>استثمار مؤسسي</x:v>
      </x:c>
      <x:c r="H94" s="6" t="str">
        <x:v>استثمار مباشر</x:v>
      </x:c>
      <x:c r="I94" s="6" t="str">
        <x:v>غير متاح في المصادر المراجعة</x:v>
      </x:c>
      <x:c r="J94" s="6" t="str">
        <x:v>غير متاح في المصادر المراجعة</x:v>
      </x:c>
      <x:c r="K94" s="6" t="str">
        <x:v>نموذج / موقع الجهة</x:v>
      </x:c>
      <x:c r="L94" s="14" t="e">
        <x:f>HYPERLINK("https://eand.com","eand.com")</x:f>
        <x:v>HYPERLINK is not implemented. linkLocation=https://eand.com, friendlyName=eand.com</x:v>
      </x:c>
      <x:c r="M94" s="14" t="e">
        <x:f>HYPERLINK("https://www.eand.com/en/capital.html","eand.com")</x:f>
        <x:v>HYPERLINK is not implemented. linkLocation=https://www.eand.com/en/capital.html, friendlyName=eand.com</x:v>
      </x:c>
      <x:c r="N94" s="6" t="str">
        <x:v>ملاءمة القطاع والمرحلة والنطاق الجغرافي؛ تأكيد مباشر</x:v>
      </x:c>
      <x:c r="O94" s="6" t="str">
        <x:v>غير مؤكد؛ راجع القناة المنشورة</x:v>
      </x:c>
      <x:c r="P94" s="13" t="str">
        <x:v>لم يتم التواصل</x:v>
      </x:c>
      <x:c r="Q94" s="6" t="str">
        <x:v>تأكيد جهة الاتصال والملاءمة ثم طلب متطلبات التقديم</x:v>
      </x:c>
      <x:c r="R94" s="6" t="str">
        <x:v>استخدم ذراع الاستثمار وليس مركز خدمة اتصالات الأفراد.</x:v>
      </x:c>
      <x:c r="S94" s="11" t="d">
        <x:v>2026-10-22T06:00:00.000Z</x:v>
      </x:c>
      <x:c r="T94" s="14" t="e">
        <x:f>HYPERLINK("https://www.eand.com/en/capital.html","eand.com")</x:f>
        <x:v>HYPERLINK is not implemented. linkLocation=https://www.eand.com/en/capital.html, friendlyName=eand.com</x:v>
      </x:c>
      <x:c r="U94" s="14" t="str">
        <x:v>غير متاح في المصادر المراجعة</x:v>
      </x:c>
      <x:c r="V94" s="14" t="str">
        <x:v>غير متاح في المصادر المراجعة</x:v>
      </x:c>
      <x:c r="W94" s="6" t="str">
        <x:v>غير متاح في المصادر المراجعة</x:v>
      </x:c>
      <x:c r="X94" s="6" t="str">
        <x:v>غير متاح في المصادر المراجعة</x:v>
      </x:c>
    </x:row>
    <x:row r="95" ht="45" customHeight="1">
      <x:c r="A95" s="10" t="str">
        <x:v>F090</x:v>
      </x:c>
      <x:c r="B95" s="6" t="str">
        <x:v>du Ventures</x:v>
      </x:c>
      <x:c r="C95" s="6" t="str">
        <x:v>رأس مال جريء مؤسسي</x:v>
      </x:c>
      <x:c r="D95" s="6" t="str">
        <x:v>دبي</x:v>
      </x:c>
      <x:c r="E95" s="6" t="str">
        <x:v>تقنية وابتكار</x:v>
      </x:c>
      <x:c r="F95" s="6" t="str">
        <x:v>حسب الصندوق</x:v>
      </x:c>
      <x:c r="G95" s="6" t="str">
        <x:v>استثمار مؤسسي</x:v>
      </x:c>
      <x:c r="H95" s="6" t="str">
        <x:v>استثمار مباشر عبر الصندوق</x:v>
      </x:c>
      <x:c r="I95" s="6" t="str">
        <x:v>غير متاح في المصادر المراجعة</x:v>
      </x:c>
      <x:c r="J95" s="6" t="str">
        <x:v>غير متاح في المصادر المراجعة</x:v>
      </x:c>
      <x:c r="K95" s="6" t="str">
        <x:v>نموذج / موقع الجهة</x:v>
      </x:c>
      <x:c r="L95" s="14" t="e">
        <x:f>HYPERLINK("https://du.ae","du.ae")</x:f>
        <x:v>HYPERLINK is not implemented. linkLocation=https://du.ae, friendlyName=du.ae</x:v>
      </x:c>
      <x:c r="M95" s="14" t="e">
        <x:f>HYPERLINK("https://investors.du.ae/","investors.du.ae")</x:f>
        <x:v>HYPERLINK is not implemented. linkLocation=https://investors.du.ae/, friendlyName=investors.du.ae</x:v>
      </x:c>
      <x:c r="N95" s="6" t="str">
        <x:v>ملاءمة القطاع والمرحلة والنطاق الجغرافي؛ تأكيد مباشر</x:v>
      </x:c>
      <x:c r="O95" s="6" t="str">
        <x:v>غير مؤكد؛ راجع القناة المنشورة</x:v>
      </x:c>
      <x:c r="P95" s="13" t="str">
        <x:v>لم يتم التواصل</x:v>
      </x:c>
      <x:c r="Q95" s="6" t="str">
        <x:v>تأكيد جهة الاتصال والملاءمة ثم طلب متطلبات التقديم</x:v>
      </x:c>
      <x:c r="R95" s="6" t="str">
        <x:v>صندوق معلن بالتعاون مع Shorooq؛ لا تستخدم duventures.org لجهة مختلفة.</x:v>
      </x:c>
      <x:c r="S95" s="11" t="d">
        <x:v>2026-10-22T06:00:00.000Z</x:v>
      </x:c>
      <x:c r="T95" s="14" t="e">
        <x:f>HYPERLINK("https://investors.du.ae/","investors.du.ae")</x:f>
        <x:v>HYPERLINK is not implemented. linkLocation=https://investors.du.ae/, friendlyName=investors.du.ae</x:v>
      </x:c>
      <x:c r="U95" s="14" t="str">
        <x:v>غير متاح في المصادر المراجعة</x:v>
      </x:c>
      <x:c r="V95" s="14" t="str">
        <x:v>غير متاح في المصادر المراجعة</x:v>
      </x:c>
      <x:c r="W95" s="6" t="str">
        <x:v>غير متاح في المصادر المراجعة</x:v>
      </x:c>
      <x:c r="X95" s="6" t="str">
        <x:v>غير متاح في المصادر المراجعة</x:v>
      </x:c>
    </x:row>
    <x:row r="96" ht="45" customHeight="1">
      <x:c r="A96" s="10" t="str">
        <x:v>F091</x:v>
      </x:c>
      <x:c r="B96" s="6" t="str">
        <x:v>Mubadala Investment Company</x:v>
      </x:c>
      <x:c r="C96" s="6" t="str">
        <x:v>استثمار سيادي</x:v>
      </x:c>
      <x:c r="D96" s="6" t="str">
        <x:v>أبوظبي</x:v>
      </x:c>
      <x:c r="E96" s="6" t="str">
        <x:v>تقنية وقطاعات استراتيجية</x:v>
      </x:c>
      <x:c r="F96" s="6" t="str">
        <x:v>متعدد المراحل</x:v>
      </x:c>
      <x:c r="G96" s="6" t="str">
        <x:v>استثمار سيادي مباشر وصناديق</x:v>
      </x:c>
      <x:c r="H96" s="6" t="str">
        <x:v>استثمار مباشر وغير مباشر</x:v>
      </x:c>
      <x:c r="I96" s="6" t="str">
        <x:v>غير متاح في المصادر المراجعة</x:v>
      </x:c>
      <x:c r="J96" s="6" t="str">
        <x:v>+971 2 413 0000</x:v>
      </x:c>
      <x:c r="K96" s="6" t="str">
        <x:v>نموذج / موقع الجهة</x:v>
      </x:c>
      <x:c r="L96" s="14" t="e">
        <x:f>HYPERLINK("https://mubadala.com","mubadala.com")</x:f>
        <x:v>HYPERLINK is not implemented. linkLocation=https://mubadala.com, friendlyName=mubadala.com</x:v>
      </x:c>
      <x:c r="M96" s="14" t="e">
        <x:f>HYPERLINK("https://www.mubadala.com/en/contact-us","mubadala.com")</x:f>
        <x:v>HYPERLINK is not implemented. linkLocation=https://www.mubadala.com/en/contact-us, friendlyName=mubadala.com</x:v>
      </x:c>
      <x:c r="N96" s="6" t="str">
        <x:v>ملاءمة القطاع والمرحلة والنطاق الجغرافي؛ تأكيد مباشر</x:v>
      </x:c>
      <x:c r="O96" s="6" t="str">
        <x:v>غير مؤكد؛ راجع القناة المنشورة</x:v>
      </x:c>
      <x:c r="P96" s="13" t="str">
        <x:v>لم يتم التواصل</x:v>
      </x:c>
      <x:c r="Q96" s="6" t="str">
        <x:v>تأكيد جهة الاتصال والملاءمة ثم طلب متطلبات التقديم</x:v>
      </x:c>
      <x:c r="R96" s="6" t="str">
        <x:v>شركة أم لمبادلة كابيتال؛ تجنب تكرار التواصل داخل المجموعة.</x:v>
      </x:c>
      <x:c r="S96" s="11" t="d">
        <x:v>2026-10-22T06:00:00.000Z</x:v>
      </x:c>
      <x:c r="T96" s="14" t="e">
        <x:f>HYPERLINK("https://www.mubadala.com/en/contact-us","mubadala.com")</x:f>
        <x:v>HYPERLINK is not implemented. linkLocation=https://www.mubadala.com/en/contact-us, friendlyName=mubadala.com</x:v>
      </x:c>
      <x:c r="U96" s="14" t="str">
        <x:v>غير متاح في المصادر المراجعة</x:v>
      </x:c>
      <x:c r="V96" s="14" t="e">
        <x:f>HYPERLINK("https://www.mubadala.com/en/contact-us","mubadala.com")</x:f>
        <x:v>HYPERLINK is not implemented. linkLocation=https://www.mubadala.com/en/contact-us, friendlyName=mubadala.com</x:v>
      </x:c>
      <x:c r="W96" s="6" t="str">
        <x:v>غير متاح في المصادر المراجعة</x:v>
      </x:c>
      <x:c r="X96" s="6" t="str">
        <x:v>موقع الجهة أو قناة مرتبطة بها</x:v>
      </x:c>
    </x:row>
    <x:row r="97" ht="45" customHeight="1">
      <x:c r="A97" s="10" t="str">
        <x:v>F092</x:v>
      </x:c>
      <x:c r="B97" s="6" t="str">
        <x:v>ADQ</x:v>
      </x:c>
      <x:c r="C97" s="6" t="str">
        <x:v>استثمار سيادي</x:v>
      </x:c>
      <x:c r="D97" s="6" t="str">
        <x:v>أبوظبي</x:v>
      </x:c>
      <x:c r="E97" s="6" t="str">
        <x:v>قطاعات استراتيجية</x:v>
      </x:c>
      <x:c r="F97" s="6" t="str">
        <x:v>حسب المنصة الاستثمارية</x:v>
      </x:c>
      <x:c r="G97" s="6" t="str">
        <x:v>استثمار سيادي</x:v>
      </x:c>
      <x:c r="H97" s="6" t="str">
        <x:v>استثمار استراتيجي؛ ليس برنامجًا مفتوحًا</x:v>
      </x:c>
      <x:c r="I97" s="6" t="str">
        <x:v>غير متاح في المصادر المراجعة</x:v>
      </x:c>
      <x:c r="J97" s="6" t="str">
        <x:v>غير متاح في المصادر المراجعة</x:v>
      </x:c>
      <x:c r="K97" s="6" t="str">
        <x:v>نموذج / موقع الجهة</x:v>
      </x:c>
      <x:c r="L97" s="14" t="e">
        <x:f>HYPERLINK("https://adq.ae","adq.ae")</x:f>
        <x:v>HYPERLINK is not implemented. linkLocation=https://adq.ae, friendlyName=adq.ae</x:v>
      </x:c>
      <x:c r="M97" s="14" t="e">
        <x:f>HYPERLINK("https://www.adq.ae/","adq.ae")</x:f>
        <x:v>HYPERLINK is not implemented. linkLocation=https://www.adq.ae/, friendlyName=adq.ae</x:v>
      </x:c>
      <x:c r="N97" s="6" t="str">
        <x:v>ملاءمة القطاع والمرحلة والنطاق الجغرافي؛ تأكيد مباشر</x:v>
      </x:c>
      <x:c r="O97" s="6" t="str">
        <x:v>غير مؤكد؛ راجع القناة المنشورة</x:v>
      </x:c>
      <x:c r="P97" s="13" t="str">
        <x:v>لم يتم التواصل</x:v>
      </x:c>
      <x:c r="Q97" s="6" t="str">
        <x:v>تأكيد جهة الاتصال والملاءمة ثم طلب متطلبات التقديم</x:v>
      </x:c>
      <x:c r="R97" s="6" t="str">
        <x:v>استثمار استراتيجي عبر المنصات والشركات التابعة؛ لا يفترض تقديم مفتوح.</x:v>
      </x:c>
      <x:c r="S97" s="11" t="d">
        <x:v>2026-10-22T06:00:00.000Z</x:v>
      </x:c>
      <x:c r="T97" s="14" t="e">
        <x:f>HYPERLINK("https://www.adq.ae/","adq.ae")</x:f>
        <x:v>HYPERLINK is not implemented. linkLocation=https://www.adq.ae/, friendlyName=adq.ae</x:v>
      </x:c>
      <x:c r="U97" s="14" t="str">
        <x:v>غير متاح في المصادر المراجعة</x:v>
      </x:c>
      <x:c r="V97" s="14" t="str">
        <x:v>غير متاح في المصادر المراجعة</x:v>
      </x:c>
      <x:c r="W97" s="6" t="str">
        <x:v>غير متاح في المصادر المراجعة</x:v>
      </x:c>
      <x:c r="X97" s="6" t="str">
        <x:v>غير متاح في المصادر المراجعة</x:v>
      </x:c>
    </x:row>
    <x:row r="98" ht="45" customHeight="1">
      <x:c r="A98" s="10" t="str">
        <x:v>F093</x:v>
      </x:c>
      <x:c r="B98" s="6" t="str">
        <x:v>MGX</x:v>
      </x:c>
      <x:c r="C98" s="6" t="str">
        <x:v>استثمار استراتيجي</x:v>
      </x:c>
      <x:c r="D98" s="6" t="str">
        <x:v>أبوظبي</x:v>
      </x:c>
      <x:c r="E98" s="6" t="str">
        <x:v>ذكاء اصطناعي وبنية تحتية تقنية</x:v>
      </x:c>
      <x:c r="F98" s="6" t="str">
        <x:v>استراتيجي ونمو</x:v>
      </x:c>
      <x:c r="G98" s="6" t="str">
        <x:v>استثمار استراتيجي</x:v>
      </x:c>
      <x:c r="H98" s="6" t="str">
        <x:v>ليس مسارًا عامًا لتمويل الأفكار</x:v>
      </x:c>
      <x:c r="I98" s="6" t="str">
        <x:v>غير متاح في المصادر المراجعة</x:v>
      </x:c>
      <x:c r="J98" s="6" t="str">
        <x:v>غير متاح في المصادر المراجعة</x:v>
      </x:c>
      <x:c r="K98" s="6" t="str">
        <x:v>نموذج / موقع الجهة</x:v>
      </x:c>
      <x:c r="L98" s="14" t="e">
        <x:f>HYPERLINK("https://mgx.ae","mgx.ae")</x:f>
        <x:v>HYPERLINK is not implemented. linkLocation=https://mgx.ae, friendlyName=mgx.ae</x:v>
      </x:c>
      <x:c r="M98" s="14" t="e">
        <x:f>HYPERLINK("https://www.mgx.ae/contact","mgx.ae")</x:f>
        <x:v>HYPERLINK is not implemented. linkLocation=https://www.mgx.ae/contact, friendlyName=mgx.ae</x:v>
      </x:c>
      <x:c r="N98" s="6" t="str">
        <x:v>ملاءمة القطاع والمرحلة والنطاق الجغرافي؛ تأكيد مباشر</x:v>
      </x:c>
      <x:c r="O98" s="6" t="str">
        <x:v>غير مؤكد؛ راجع القناة المنشورة</x:v>
      </x:c>
      <x:c r="P98" s="13" t="str">
        <x:v>لم يتم التواصل</x:v>
      </x:c>
      <x:c r="Q98" s="6" t="str">
        <x:v>تأكيد جهة الاتصال والملاءمة ثم طلب متطلبات التقديم</x:v>
      </x:c>
      <x:c r="R98" s="6" t="str">
        <x:v>المقصود mgx.ae؛ استبعدت الشركات الأخرى التي تحمل الاختصار نفسه.</x:v>
      </x:c>
      <x:c r="S98" s="11" t="d">
        <x:v>2026-10-22T06:00:00.000Z</x:v>
      </x:c>
      <x:c r="T98" s="14" t="e">
        <x:f>HYPERLINK("https://www.mgx.ae/contact","mgx.ae")</x:f>
        <x:v>HYPERLINK is not implemented. linkLocation=https://www.mgx.ae/contact, friendlyName=mgx.ae</x:v>
      </x:c>
      <x:c r="U98" s="14" t="str">
        <x:v>غير متاح في المصادر المراجعة</x:v>
      </x:c>
      <x:c r="V98" s="14" t="str">
        <x:v>غير متاح في المصادر المراجعة</x:v>
      </x:c>
      <x:c r="W98" s="6" t="str">
        <x:v>غير متاح في المصادر المراجعة</x:v>
      </x:c>
      <x:c r="X98" s="6" t="str">
        <x:v>غير متاح في المصادر المراجعة</x:v>
      </x:c>
    </x:row>
    <x:row r="99" ht="45" customHeight="1">
      <x:c r="A99" s="10" t="str">
        <x:v>F094</x:v>
      </x:c>
      <x:c r="B99" s="6" t="str">
        <x:v>G42</x:v>
      </x:c>
      <x:c r="C99" s="6" t="str">
        <x:v>استثمار تقني استراتيجي</x:v>
      </x:c>
      <x:c r="D99" s="6" t="str">
        <x:v>أبوظبي</x:v>
      </x:c>
      <x:c r="E99" s="6" t="str">
        <x:v>ذكاء اصطناعي وتقنية</x:v>
      </x:c>
      <x:c r="F99" s="6" t="str">
        <x:v>استراتيجي ونمو</x:v>
      </x:c>
      <x:c r="G99" s="6" t="str">
        <x:v>استثمار وشراكات تقنية</x:v>
      </x:c>
      <x:c r="H99" s="6" t="str">
        <x:v>استثمار استراتيجي</x:v>
      </x:c>
      <x:c r="I99" s="6" t="str">
        <x:v>contact@g42.ai</x:v>
      </x:c>
      <x:c r="J99" s="6" t="str">
        <x:v>غير متاح في المصادر المراجعة</x:v>
      </x:c>
      <x:c r="K99" s="6" t="str">
        <x:v>استفسارات عامة</x:v>
      </x:c>
      <x:c r="L99" s="14" t="e">
        <x:f>HYPERLINK("https://g42.ai","g42.ai")</x:f>
        <x:v>HYPERLINK is not implemented. linkLocation=https://g42.ai, friendlyName=g42.ai</x:v>
      </x:c>
      <x:c r="M99" s="14" t="e">
        <x:f>HYPERLINK("https://www.g42.ai/contact","g42.ai")</x:f>
        <x:v>HYPERLINK is not implemented. linkLocation=https://www.g42.ai/contact, friendlyName=g42.ai</x:v>
      </x:c>
      <x:c r="N99" s="6" t="str">
        <x:v>ملاءمة القطاع والمرحلة والنطاق الجغرافي؛ تأكيد مباشر</x:v>
      </x:c>
      <x:c r="O99" s="6" t="str">
        <x:v>غير مؤكد؛ راجع القناة المنشورة</x:v>
      </x:c>
      <x:c r="P99" s="13" t="str">
        <x:v>لم يتم التواصل</x:v>
      </x:c>
      <x:c r="Q99" s="6" t="str">
        <x:v>تأكيد جهة الاتصال والملاءمة ثم طلب متطلبات التقديم</x:v>
      </x:c>
      <x:c r="R99" s="6" t="str">
        <x:v>جهة استراتيجية؛ ارتباطاتها بالمجموعة تختلف عن التقديم لمسرعة Presight.</x:v>
      </x:c>
      <x:c r="S99" s="11" t="d">
        <x:v>2026-10-22T06:00:00.000Z</x:v>
      </x:c>
      <x:c r="T99" s="14" t="e">
        <x:f>HYPERLINK("https://www.g42.ai/contact","g42.ai")</x:f>
        <x:v>HYPERLINK is not implemented. linkLocation=https://www.g42.ai/contact, friendlyName=g42.ai</x:v>
      </x:c>
      <x:c r="U99" s="14" t="e">
        <x:f>HYPERLINK("https://www.g42.ai/contact","g42.ai")</x:f>
        <x:v>HYPERLINK is not implemented. linkLocation=https://www.g42.ai/contact, friendlyName=g42.ai</x:v>
      </x:c>
      <x:c r="V99" s="14" t="str">
        <x:v>غير متاح في المصادر المراجعة</x:v>
      </x:c>
      <x:c r="W99" s="6" t="str">
        <x:v>موقع الجهة أو قناة مرتبطة بها</x:v>
      </x:c>
      <x:c r="X99" s="6" t="str">
        <x:v>غير متاح في المصادر المراجعة</x:v>
      </x:c>
    </x:row>
    <x:row r="100" ht="45" customHeight="1">
      <x:c r="A100" s="10" t="str">
        <x:v>F095</x:v>
      </x:c>
      <x:c r="B100" s="6" t="str">
        <x:v>Dubai Cultiv8</x:v>
      </x:c>
      <x:c r="C100" s="6" t="str">
        <x:v>رأس مال جريء</x:v>
      </x:c>
      <x:c r="D100" s="6" t="str">
        <x:v>دبي</x:v>
      </x:c>
      <x:c r="E100" s="6" t="str">
        <x:v>تقنية وشركات نمو</x:v>
      </x:c>
      <x:c r="F100" s="6" t="str">
        <x:v>نمو</x:v>
      </x:c>
      <x:c r="G100" s="6" t="str">
        <x:v>استثمار متوافق مع الشريعة بحسب الصندوق</x:v>
      </x:c>
      <x:c r="H100" s="6" t="str">
        <x:v>استثمار مباشر</x:v>
      </x:c>
      <x:c r="I100" s="6" t="str">
        <x:v>info@dubaicultiv8.ae</x:v>
      </x:c>
      <x:c r="J100" s="6" t="str">
        <x:v>+971 4 333 7227</x:v>
      </x:c>
      <x:c r="K100" s="6" t="str">
        <x:v>استفسارات عامة</x:v>
      </x:c>
      <x:c r="L100" s="14" t="e">
        <x:f>HYPERLINK("https://dubaicultiv8.com","dubaicultiv8.com")</x:f>
        <x:v>HYPERLINK is not implemented. linkLocation=https://dubaicultiv8.com, friendlyName=dubaicultiv8.com</x:v>
      </x:c>
      <x:c r="M100" s="14" t="e">
        <x:f>HYPERLINK("https://dubaicultiv8.com/","dubaicultiv8.com")</x:f>
        <x:v>HYPERLINK is not implemented. linkLocation=https://dubaicultiv8.com/, friendlyName=dubaicultiv8.com</x:v>
      </x:c>
      <x:c r="N100" s="6" t="str">
        <x:v>ملاءمة القطاع والمرحلة والنطاق الجغرافي؛ تأكيد مباشر</x:v>
      </x:c>
      <x:c r="O100" s="6" t="str">
        <x:v>غير مؤكد؛ راجع القناة المنشورة</x:v>
      </x:c>
      <x:c r="P100" s="13" t="str">
        <x:v>لم يتم التواصل</x:v>
      </x:c>
      <x:c r="Q100" s="6" t="str">
        <x:v>تأكيد جهة الاتصال والملاءمة ثم طلب متطلبات التقديم</x:v>
      </x:c>
      <x:c r="R100" s="6" t="str">
        <x:v>مرتبط بمنظومة صندوق محمد بن راشد لدعم المشاريع؛ تحقق من المنتج الاستثماري المناسب.</x:v>
      </x:c>
      <x:c r="S100" s="11" t="d">
        <x:v>2026-10-22T06:00:00.000Z</x:v>
      </x:c>
      <x:c r="T100" s="14" t="e">
        <x:f>HYPERLINK("https://dubaicultiv8.com/","dubaicultiv8.com")</x:f>
        <x:v>HYPERLINK is not implemented. linkLocation=https://dubaicultiv8.com/, friendlyName=dubaicultiv8.com</x:v>
      </x:c>
      <x:c r="U100" s="14" t="e">
        <x:f>HYPERLINK("https://dubaicultiv8.com/","dubaicultiv8.com")</x:f>
        <x:v>HYPERLINK is not implemented. linkLocation=https://dubaicultiv8.com/, friendlyName=dubaicultiv8.com</x:v>
      </x:c>
      <x:c r="V100" s="14" t="e">
        <x:f>HYPERLINK("https://dubaicultiv8.com/","dubaicultiv8.com")</x:f>
        <x:v>HYPERLINK is not implemented. linkLocation=https://dubaicultiv8.com/, friendlyName=dubaicultiv8.com</x:v>
      </x:c>
      <x:c r="W100" s="6" t="str">
        <x:v>موقع الجهة أو قناة مرتبطة بها</x:v>
      </x:c>
      <x:c r="X100" s="6" t="str">
        <x:v>موقع الجهة أو قناة مرتبطة بها</x:v>
      </x:c>
    </x:row>
    <x:row r="101" ht="45" customHeight="1">
      <x:c r="A101" s="10" t="str">
        <x:v>F096</x:v>
      </x:c>
      <x:c r="B101" s="6" t="str">
        <x:v>Crescent Enterprises</x:v>
      </x:c>
      <x:c r="C101" s="6" t="str">
        <x:v>رأس مال جريء مؤسسي</x:v>
      </x:c>
      <x:c r="D101" s="6" t="str">
        <x:v>الشارقة / دبي</x:v>
      </x:c>
      <x:c r="E101" s="6" t="str">
        <x:v>تقنية متعددة القطاعات عبر CE-Ventures</x:v>
      </x:c>
      <x:c r="F101" s="6" t="str">
        <x:v>مبكرة ونمو</x:v>
      </x:c>
      <x:c r="G101" s="6" t="str">
        <x:v>استثمار مؤسسي</x:v>
      </x:c>
      <x:c r="H101" s="6" t="str">
        <x:v>استثمار مباشر عبر الذراع المتخصص</x:v>
      </x:c>
      <x:c r="I101" s="6" t="str">
        <x:v>ce@crescent.ae</x:v>
      </x:c>
      <x:c r="J101" s="6" t="str">
        <x:v>+971 6 554 7222</x:v>
      </x:c>
      <x:c r="K101" s="6" t="str">
        <x:v>استفسارات عامة</x:v>
      </x:c>
      <x:c r="L101" s="14" t="e">
        <x:f>HYPERLINK("https://crescententerprises.com","crescententerprises.com")</x:f>
        <x:v>HYPERLINK is not implemented. linkLocation=https://crescententerprises.com, friendlyName=crescententerprises.com</x:v>
      </x:c>
      <x:c r="M101" s="14" t="e">
        <x:f>HYPERLINK("https://www.crescententerprises.com/contact-us/","crescententerprises.com")</x:f>
        <x:v>HYPERLINK is not implemented. linkLocation=https://www.crescententerprises.com/contact-us/, friendlyName=crescententerprises.com</x:v>
      </x:c>
      <x:c r="N101" s="6" t="str">
        <x:v>ملاءمة القطاع والمرحلة والنطاق الجغرافي؛ تأكيد مباشر</x:v>
      </x:c>
      <x:c r="O101" s="6" t="str">
        <x:v>غير مؤكد؛ راجع القناة المنشورة</x:v>
      </x:c>
      <x:c r="P101" s="13" t="str">
        <x:v>لم يتم التواصل</x:v>
      </x:c>
      <x:c r="Q101" s="6" t="str">
        <x:v>تأكيد جهة الاتصال والملاءمة ثم طلب متطلبات التقديم</x:v>
      </x:c>
      <x:c r="R101" s="6" t="str"/>
      <x:c r="S101" s="11" t="d">
        <x:v>2026-10-22T06:00:00.000Z</x:v>
      </x:c>
      <x:c r="T101" s="14" t="e">
        <x:f>HYPERLINK("https://www.crescententerprises.com/contact-us/","crescententerprises.com")</x:f>
        <x:v>HYPERLINK is not implemented. linkLocation=https://www.crescententerprises.com/contact-us/, friendlyName=crescententerprises.com</x:v>
      </x:c>
      <x:c r="U101" s="14" t="e">
        <x:f>HYPERLINK("https://www.crescententerprises.com/contact-us/","crescententerprises.com")</x:f>
        <x:v>HYPERLINK is not implemented. linkLocation=https://www.crescententerprises.com/contact-us/, friendlyName=crescententerprises.com</x:v>
      </x:c>
      <x:c r="V101" s="14" t="e">
        <x:f>HYPERLINK("https://www.crescententerprises.com/contact-us/","crescententerprises.com")</x:f>
        <x:v>HYPERLINK is not implemented. linkLocation=https://www.crescententerprises.com/contact-us/, friendlyName=crescententerprises.com</x:v>
      </x:c>
      <x:c r="W101" s="6" t="str">
        <x:v>موقع الجهة أو قناة مرتبطة بها</x:v>
      </x:c>
      <x:c r="X101" s="6" t="str">
        <x:v>موقع الجهة أو قناة مرتبطة بها</x:v>
      </x:c>
    </x:row>
    <x:row r="102" ht="45" customHeight="1">
      <x:c r="A102" s="10" t="str">
        <x:v>F097</x:v>
      </x:c>
      <x:c r="B102" s="6" t="str">
        <x:v>Funding Souq</x:v>
      </x:c>
      <x:c r="C102" s="6" t="str">
        <x:v>منصة تمويل جماعي</x:v>
      </x:c>
      <x:c r="D102" s="6" t="str">
        <x:v>دبي</x:v>
      </x:c>
      <x:c r="E102" s="6" t="str">
        <x:v>منشآت صغيرة ومتوسطة قائمة</x:v>
      </x:c>
      <x:c r="F102" s="6" t="str">
        <x:v>شركات قائمة</x:v>
      </x:c>
      <x:c r="G102" s="6" t="str">
        <x:v>تمويل جماعي بالدين</x:v>
      </x:c>
      <x:c r="H102" s="6" t="str">
        <x:v>إقراض مشروط</x:v>
      </x:c>
      <x:c r="I102" s="6" t="str">
        <x:v>support@fundingsouq.com</x:v>
      </x:c>
      <x:c r="J102" s="6" t="str">
        <x:v>+971 55 823 7344</x:v>
      </x:c>
      <x:c r="K102" s="6" t="str">
        <x:v>دعم / خدمة عملاء؛ اطلب التحويل</x:v>
      </x:c>
      <x:c r="L102" s="14" t="e">
        <x:f>HYPERLINK("https://fundingsouq.com","fundingsouq.com")</x:f>
        <x:v>HYPERLINK is not implemented. linkLocation=https://fundingsouq.com, friendlyName=fundingsouq.com</x:v>
      </x:c>
      <x:c r="M102" s="14" t="e">
        <x:f>HYPERLINK("https://fundingsouq.com/ae/en/contact-us/","fundingsouq.com")</x:f>
        <x:v>HYPERLINK is not implemented. linkLocation=https://fundingsouq.com/ae/en/contact-us/, friendlyName=fundingsouq.com</x:v>
      </x:c>
      <x:c r="N102" s="6" t="str">
        <x:v>شركة قائمة مستوفية لشروط المنصة</x:v>
      </x:c>
      <x:c r="O102" s="6" t="str">
        <x:v>غير مؤكد؛ راجع القناة المنشورة</x:v>
      </x:c>
      <x:c r="P102" s="13" t="str">
        <x:v>لم يتم التواصل</x:v>
      </x:c>
      <x:c r="Q102" s="6" t="str">
        <x:v>تأكيد جهة الاتصال والملاءمة ثم طلب متطلبات التقديم</x:v>
      </x:c>
      <x:c r="R102" s="6" t="str">
        <x:v>لشركات قائمة مستوفية لشروط التمويل؛ ليست استثماراً ملائكياً في فكرة.</x:v>
      </x:c>
      <x:c r="S102" s="11" t="d">
        <x:v>2026-10-22T06:00:00.000Z</x:v>
      </x:c>
      <x:c r="T102" s="14" t="e">
        <x:f>HYPERLINK("https://fundingsouq.com/ae/en/contact-us/","fundingsouq.com")</x:f>
        <x:v>HYPERLINK is not implemented. linkLocation=https://fundingsouq.com/ae/en/contact-us/, friendlyName=fundingsouq.com</x:v>
      </x:c>
      <x:c r="U102" s="14" t="e">
        <x:f>HYPERLINK("https://play.google.com/store/apps/details?hl=en_US&amp;id=com.fundingsouq","play.google.com")</x:f>
        <x:v>HYPERLINK is not implemented. linkLocation=https://play.google.com/store/apps/details?hl=en_US&amp;id=com.fundingsouq, friendlyName=play.google.com</x:v>
      </x:c>
      <x:c r="V102" s="14" t="e">
        <x:f>HYPERLINK("https://fundingsouq.com/ae/en/contact-us/","fundingsouq.com")</x:f>
        <x:v>HYPERLINK is not implemented. linkLocation=https://fundingsouq.com/ae/en/contact-us/, friendlyName=fundingsouq.com</x:v>
      </x:c>
      <x:c r="W102" s="6" t="str">
        <x:v>قائمة تطبيق ينشرها المطور</x:v>
      </x:c>
      <x:c r="X102" s="6" t="str">
        <x:v>موقع الجهة أو قناة مرتبطة بها</x:v>
      </x:c>
    </x:row>
    <x:row r="103" ht="45" customHeight="1">
      <x:c r="A103" s="10" t="str">
        <x:v>F098</x:v>
      </x:c>
      <x:c r="B103" s="6" t="str">
        <x:v>Majid Al Futtaim Launchpad</x:v>
      </x:c>
      <x:c r="C103" s="6" t="str">
        <x:v>تسريع وربط تجاري</x:v>
      </x:c>
      <x:c r="D103" s="6" t="str">
        <x:v>دبي</x:v>
      </x:c>
      <x:c r="E103" s="6" t="str">
        <x:v>تجزئة وعلامات استهلاكية</x:v>
      </x:c>
      <x:c r="F103" s="6" t="str">
        <x:v>تسريع ونمو</x:v>
      </x:c>
      <x:c r="G103" s="6" t="str">
        <x:v>تسريع وربط تجاري</x:v>
      </x:c>
      <x:c r="H103" s="6" t="str">
        <x:v>لا يثبت استثمارًا نقديًا مباشرًا</x:v>
      </x:c>
      <x:c r="I103" s="6" t="str">
        <x:v>غير متاح في المصادر المراجعة</x:v>
      </x:c>
      <x:c r="J103" s="6" t="str">
        <x:v>غير متاح في المصادر المراجعة</x:v>
      </x:c>
      <x:c r="K103" s="6" t="str">
        <x:v>نموذج / موقع الجهة</x:v>
      </x:c>
      <x:c r="L103" s="14" t="e">
        <x:f>HYPERLINK("https://majidalfuttaim.com","majidalfuttaim.com")</x:f>
        <x:v>HYPERLINK is not implemented. linkLocation=https://majidalfuttaim.com, friendlyName=majidalfuttaim.com</x:v>
      </x:c>
      <x:c r="M103" s="14" t="e">
        <x:f>HYPERLINK("https://www.majidalfuttaim.com/docs/default-source/press-releases/majid-al-futtaim-rolls-out-launchpad-x-to-connect-leading-mena-startups-with-global-market-opportunities_en.pdf?sfvrsn=a3fc5f39_2","majidalfuttaim.com")</x:f>
        <x:v>HYPERLINK is not implemented. linkLocation=https://www.majidalfuttaim.com/docs/default-source/press-releases/majid-al-futtaim-rolls-out-launchpad-x-to-connect-leading-mena-startups-with-global-market-opportunities_en.pdf?sfvrsn=a3fc5f39_2, friendlyName=majidalfuttaim.com</x:v>
      </x:c>
      <x:c r="N103" s="6" t="str">
        <x:v>بحسب الدورة والبرنامج ومرحلة الشركة</x:v>
      </x:c>
      <x:c r="O103" s="6" t="str">
        <x:v>غير مؤكد؛ راجع القناة المنشورة</x:v>
      </x:c>
      <x:c r="P103" s="13" t="str">
        <x:v>لم يتم التواصل</x:v>
      </x:c>
      <x:c r="Q103" s="6" t="str">
        <x:v>تأكيد جهة الاتصال والملاءمة ثم طلب متطلبات التقديم</x:v>
      </x:c>
      <x:c r="R103" s="6" t="str">
        <x:v>برنامج تسريع ووصول للسوق؛ حالة الدورة الحالية غير مؤكدة.</x:v>
      </x:c>
      <x:c r="S103" s="11" t="d">
        <x:v>2026-10-22T06:00:00.000Z</x:v>
      </x:c>
      <x:c r="T103" s="14" t="e">
        <x:f>HYPERLINK("https://www.majidalfuttaim.com/docs/default-source/press-releases/majid-al-futtaim-rolls-out-launchpad-x-to-connect-leading-mena-startups-with-global-market-opportunities_en.pdf?sfvrsn=a3fc5f39_2","majidalfuttaim.com")</x:f>
        <x:v>HYPERLINK is not implemented. linkLocation=https://www.majidalfuttaim.com/docs/default-source/press-releases/majid-al-futtaim-rolls-out-launchpad-x-to-connect-leading-mena-startups-with-global-market-opportunities_en.pdf?sfvrsn=a3fc5f39_2, friendlyName=majidalfuttaim.com</x:v>
      </x:c>
      <x:c r="U103" s="14" t="str">
        <x:v>غير متاح في المصادر المراجعة</x:v>
      </x:c>
      <x:c r="V103" s="14" t="str">
        <x:v>غير متاح في المصادر المراجعة</x:v>
      </x:c>
      <x:c r="W103" s="6" t="str">
        <x:v>غير متاح في المصادر المراجعة</x:v>
      </x:c>
      <x:c r="X103" s="6" t="str">
        <x:v>غير متاح في المصادر المراجعة</x:v>
      </x:c>
    </x:row>
    <x:row r="104" ht="45" customHeight="1">
      <x:c r="A104" s="10" t="str">
        <x:v>F099</x:v>
      </x:c>
      <x:c r="B104" s="6" t="str">
        <x:v>Beehive</x:v>
      </x:c>
      <x:c r="C104" s="6" t="str">
        <x:v>منصة تمويل جماعي بالدين</x:v>
      </x:c>
      <x:c r="D104" s="6" t="str">
        <x:v>دبي</x:v>
      </x:c>
      <x:c r="E104" s="6" t="str">
        <x:v>منشآت صغيرة ومتوسطة قائمة</x:v>
      </x:c>
      <x:c r="F104" s="6" t="str">
        <x:v>شركات قائمة</x:v>
      </x:c>
      <x:c r="G104" s="6" t="str">
        <x:v>تمويل جماعي بالدين</x:v>
      </x:c>
      <x:c r="H104" s="6" t="str">
        <x:v>إقراض مشروط</x:v>
      </x:c>
      <x:c r="I104" s="6" t="str">
        <x:v>sme@beehive.ae</x:v>
      </x:c>
      <x:c r="J104" s="6" t="str">
        <x:v>+971 4 550 6700</x:v>
      </x:c>
      <x:c r="K104" s="6" t="str">
        <x:v>أعمال / مبيعات / تمويل</x:v>
      </x:c>
      <x:c r="L104" s="14" t="e">
        <x:f>HYPERLINK("https://beehive.ae","beehive.ae")</x:f>
        <x:v>HYPERLINK is not implemented. linkLocation=https://beehive.ae, friendlyName=beehive.ae</x:v>
      </x:c>
      <x:c r="M104" s="14" t="e">
        <x:f>HYPERLINK("https://www.beehive.ae/contact-us","beehive.ae")</x:f>
        <x:v>HYPERLINK is not implemented. linkLocation=https://www.beehive.ae/contact-us, friendlyName=beehive.ae</x:v>
      </x:c>
      <x:c r="N104" s="6" t="str">
        <x:v>شركة قائمة مستوفية لشروط المنصة</x:v>
      </x:c>
      <x:c r="O104" s="6" t="str">
        <x:v>غير مؤكد؛ راجع القناة المنشورة</x:v>
      </x:c>
      <x:c r="P104" s="13" t="str">
        <x:v>لم يتم التواصل</x:v>
      </x:c>
      <x:c r="Q104" s="6" t="str">
        <x:v>تأكيد جهة الاتصال والملاءمة ثم طلب متطلبات التقديم</x:v>
      </x:c>
      <x:c r="R104" s="6" t="str">
        <x:v>تمويل منشآت قائمة؛ تحقق من المتطلبات الائتمانية.</x:v>
      </x:c>
      <x:c r="S104" s="11" t="d">
        <x:v>2026-10-22T06:00:00.000Z</x:v>
      </x:c>
      <x:c r="T104" s="14" t="e">
        <x:f>HYPERLINK("https://www.beehive.ae/","beehive.ae")</x:f>
        <x:v>HYPERLINK is not implemented. linkLocation=https://www.beehive.ae/, friendlyName=beehive.ae</x:v>
      </x:c>
      <x:c r="U104" s="14" t="e">
        <x:f>HYPERLINK("https://www.beehive.ae/contact-us","beehive.ae")</x:f>
        <x:v>HYPERLINK is not implemented. linkLocation=https://www.beehive.ae/contact-us, friendlyName=beehive.ae</x:v>
      </x:c>
      <x:c r="V104" s="14" t="e">
        <x:f>HYPERLINK("https://www.beehive.ae/contact-us","beehive.ae")</x:f>
        <x:v>HYPERLINK is not implemented. linkLocation=https://www.beehive.ae/contact-us, friendlyName=beehive.ae</x:v>
      </x:c>
      <x:c r="W104" s="6" t="str">
        <x:v>موقع الجهة أو قناة مرتبطة بها</x:v>
      </x:c>
      <x:c r="X104" s="6" t="str">
        <x:v>موقع الجهة أو قناة مرتبطة بها</x:v>
      </x:c>
    </x:row>
    <x:row r="105" ht="45" customHeight="1">
      <x:c r="A105" s="10" t="str">
        <x:v>F100</x:v>
      </x:c>
      <x:c r="B105" s="6" t="str">
        <x:v>Dubai Holding</x:v>
      </x:c>
      <x:c r="C105" s="6" t="str">
        <x:v>استثمار مؤسسي</x:v>
      </x:c>
      <x:c r="D105" s="6" t="str">
        <x:v>دبي</x:v>
      </x:c>
      <x:c r="E105" s="6" t="str">
        <x:v>ابتكار واستدامة عبر برامج المجموعة</x:v>
      </x:c>
      <x:c r="F105" s="6" t="str">
        <x:v>حسب البرنامج</x:v>
      </x:c>
      <x:c r="G105" s="6" t="str">
        <x:v>تحديات وتجارب تجارية وجوائز</x:v>
      </x:c>
      <x:c r="H105" s="6" t="str">
        <x:v>دعم بحسب البرنامج</x:v>
      </x:c>
      <x:c r="I105" s="6" t="str">
        <x:v>غير متاح في المصادر المراجعة</x:v>
      </x:c>
      <x:c r="J105" s="6" t="str">
        <x:v>+971 4 540 0400</x:v>
      </x:c>
      <x:c r="K105" s="6" t="str">
        <x:v>نموذج / موقع الجهة</x:v>
      </x:c>
      <x:c r="L105" s="14" t="e">
        <x:f>HYPERLINK("https://dubaiholding.com","dubaiholding.com")</x:f>
        <x:v>HYPERLINK is not implemented. linkLocation=https://dubaiholding.com, friendlyName=dubaiholding.com</x:v>
      </x:c>
      <x:c r="M105" s="14" t="e">
        <x:f>HYPERLINK("https://www.dubaiholding.com/en/contact-us","dubaiholding.com")</x:f>
        <x:v>HYPERLINK is not implemented. linkLocation=https://www.dubaiholding.com/en/contact-us, friendlyName=dubaiholding.com</x:v>
      </x:c>
      <x:c r="N105" s="6" t="str">
        <x:v>ملاءمة القطاع والمرحلة والنطاق الجغرافي؛ تأكيد مباشر</x:v>
      </x:c>
      <x:c r="O105" s="6" t="str">
        <x:v>غير مؤكد؛ راجع القناة المنشورة</x:v>
      </x:c>
      <x:c r="P105" s="13" t="str">
        <x:v>لم يتم التواصل</x:v>
      </x:c>
      <x:c r="Q105" s="6" t="str">
        <x:v>تأكيد جهة الاتصال والملاءمة ثم طلب متطلبات التقديم</x:v>
      </x:c>
      <x:c r="R105" s="6" t="str">
        <x:v>التعامل عبر البرنامج المحدد؛ لم يثبت وجود مسار تمويل ناشئة مفتوح حالياً.</x:v>
      </x:c>
      <x:c r="S105" s="11" t="d">
        <x:v>2026-10-22T06:00:00.000Z</x:v>
      </x:c>
      <x:c r="T105" s="14" t="e">
        <x:f>HYPERLINK("https://www.dubaiholding.com/en/contact-us","dubaiholding.com")</x:f>
        <x:v>HYPERLINK is not implemented. linkLocation=https://www.dubaiholding.com/en/contact-us, friendlyName=dubaiholding.com</x:v>
      </x:c>
      <x:c r="U105" s="14" t="str">
        <x:v>غير متاح في المصادر المراجعة</x:v>
      </x:c>
      <x:c r="V105" s="14" t="e">
        <x:f>HYPERLINK("https://www.dubaiholding.com/en/contact-us","dubaiholding.com")</x:f>
        <x:v>HYPERLINK is not implemented. linkLocation=https://www.dubaiholding.com/en/contact-us, friendlyName=dubaiholding.com</x:v>
      </x:c>
      <x:c r="W105" s="6" t="str">
        <x:v>غير متاح في المصادر المراجعة</x:v>
      </x:c>
      <x:c r="X105" s="6" t="str">
        <x:v>موقع الجهة أو قناة مرتبطة بها</x:v>
      </x:c>
    </x:row>
  </x:sheetData>
  <x:conditionalFormatting sqref="I6:I105">
    <x:cfRule type="containsText" dxfId="4" priority="1" operator="containsText" text="غير متاح في المصادر المراجعة"/>
  </x:conditionalFormatting>
  <x:conditionalFormatting sqref="J6:J105">
    <x:cfRule type="containsText" dxfId="5" priority="2" operator="containsText" text="غير متاح في المصادر المراجعة"/>
  </x:conditionalFormatting>
  <x:dataValidations count="1">
    <x:dataValidation type="list" sqref="P6:P105">
      <x:formula1>"لم يتم التواصل,تم التواصل,بانتظار الرد,مهتم,غير مهتم,تم الاجتماع,تم الاتفاق,مؤجل"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c8a3ab97e64562"/>
  </x:tableParts>
</x:worksheet>
</file>

<file path=xl/worksheets/sheet4.xml><?xml version="1.0" encoding="utf-8"?>
<x:worksheet xmlns:x="http://schemas.openxmlformats.org/spreadsheetml/2006/main">
  <x:sheetPr>
    <x:tabColor rgb="FF7E89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15" hidden="0" customWidth="1"/>
  </x:cols>
  <x:sheetData>
    <x:row r="1" ht="10" customHeight="1"/>
    <x:row r="2">
      <x:c r="A2" s="1" t="str">
        <x:v>التعريفات وحدود التحقق</x:v>
      </x:c>
    </x:row>
    <x:row r="5" ht="28" customHeight="1">
      <x:c r="A5" s="29" t="str">
        <x:v>البند</x:v>
      </x:c>
      <x:c r="B5" s="29" t="str">
        <x:v>التعريف / الملاحظة</x:v>
      </x:c>
    </x:row>
    <x:row r="6" ht="48" customHeight="1">
      <x:c r="A6" s="27" t="str">
        <x:v>حجم القاعدة</x:v>
      </x:c>
      <x:c r="B6" s="27" t="str">
        <x:v>100 شركة و100 جهة / قناة مؤسسية. الجهات تشمل مستثمرين ومقرضين ومسرعات وحاضنات وبرامج حكومية؛ ليست كلها صناديق استثمار.</x:v>
      </x:c>
    </x:row>
    <x:row r="7" ht="48" customHeight="1">
      <x:c r="A7" s="27" t="str">
        <x:v>صلة الشركة بالإمارات</x:v>
      </x:c>
      <x:c r="B7" s="27" t="str">
        <x:v>مقر أو مكتب أو نشاط إماراتي موثق أو إدراج في منظومة Future 100 أو Hub71. الحالات المتعارضة أو المحتاجة لتأكيد موضحة في الملاحظات.</x:v>
      </x:c>
    </x:row>
    <x:row r="8" ht="48" customHeight="1">
      <x:c r="A8" s="27" t="str">
        <x:v>حالة الاستقطاب / التواصل</x:v>
      </x:c>
      <x:c r="B8" s="27" t="str">
        <x:v>حالة تشغيلية داخلية. القيمة الابتدائية «لم يتم التواصل» ولا تعني أن الشركة مهتمة أو مؤهلة.</x:v>
      </x:c>
    </x:row>
    <x:row r="9" ht="48" customHeight="1">
      <x:c r="A9" s="27" t="str">
        <x:v>جمع تمويل حالياً</x:v>
      </x:c>
      <x:c r="B9" s="27" t="str">
        <x:v>لا يوجد تأكيد مباشر من الشركات. إعلان جولة سابقة لا يعني وجود جولة مفتوحة اليوم. تقارير البحث السابقة لا تثبت استمرار الطلب.</x:v>
      </x:c>
    </x:row>
    <x:row r="10" ht="48" customHeight="1">
      <x:c r="A10" s="27" t="str">
        <x:v>الجولة الموثقة</x:v>
      </x:c>
      <x:c r="B10" s="27" t="str">
        <x:v>جولة منشورة عُثر عليها أثناء المراجعة، وقد لا تكون الأحدث. المصدر والتاريخ مدرجان؛ لا تُستخدم باعتبارها تقييمًا حديثًا للشركة.</x:v>
      </x:c>
    </x:row>
    <x:row r="11" ht="48" customHeight="1">
      <x:c r="A11" s="27" t="str">
        <x:v>قيمة الجولة</x:v>
      </x:c>
      <x:c r="B11" s="27" t="str">
        <x:v>بالدولار الأمريكي كما أعلن المصدر. قد تشمل حقوق ملكية ودينًا؛ هذا موضح في الملاحظة. ليست إجمالي التمويل أو التقييم.</x:v>
      </x:c>
    </x:row>
    <x:row r="12" ht="48" customHeight="1">
      <x:c r="A12" s="27" t="str">
        <x:v>البيانات الأساسية</x:v>
      </x:c>
      <x:c r="B12" s="27" t="str">
        <x:v>سنة التأسيس والمذكورون من المؤسسين كما في المصادر. قائمة المؤسسين قد تكون جزئية. التعارضات لم تُحل بالتخمين.</x:v>
      </x:c>
    </x:row>
    <x:row r="13" ht="48" customHeight="1">
      <x:c r="A13" s="27" t="str">
        <x:v>البريد والهاتف</x:v>
      </x:c>
      <x:c r="B13" s="27" t="str">
        <x:v>بيانات عمل معلنة فقط. بعض العناوين للدعم أو المبيعات أو الإعلام وليست للاستثمار؛ نوع القناة مبين. أرقام 800 و600 محلية داخل الإمارات غالبًا.</x:v>
      </x:c>
    </x:row>
    <x:row r="14" ht="48" customHeight="1">
      <x:c r="A14" s="27" t="str">
        <x:v>المصدر الرسمي</x:v>
      </x:c>
      <x:c r="B14" s="27" t="str">
        <x:v>موقع الجهة أو قناة مرتبطة بها أو سجل تنظيمي. إدراج البيانات لا يثبت قابلية تسليم البريد أو الرد على الهاتف؛ لم تجر اختبارات إرسال أو اتصال.</x:v>
      </x:c>
    </x:row>
    <x:row r="15" ht="48" customHeight="1">
      <x:c r="A15" s="27" t="str">
        <x:v>المصدر الثانوي</x:v>
      </x:c>
      <x:c r="B15" s="27" t="str">
        <x:v>دليل أعمال أو تغطية إعلامية أو قاعدة بيانات عامة. يجب تأكيد بياناته مباشرة قبل الاستخدام؛ النوع مبين لكل حقل اتصال.</x:v>
      </x:c>
    </x:row>
    <x:row r="16" ht="48" customHeight="1">
      <x:c r="A16" s="27" t="str">
        <x:v>غير متاح</x:v>
      </x:c>
      <x:c r="B16" s="27" t="str">
        <x:v>يعني عدم العثور على قيمة قابلة للإسناد في المصادر المراجعة، وليس عدم وجود بريد أو هاتف للجهة. تتوفر قناة بديلة لكل سجل.</x:v>
      </x:c>
    </x:row>
    <x:row r="17" ht="48" customHeight="1">
      <x:c r="A17" s="27" t="str">
        <x:v>القطاعات والمراحل للجهات</x:v>
      </x:c>
      <x:c r="B17" s="27" t="str">
        <x:v>وصف عام للمطابقة الأولية؛ يلزم مراجعة استراتيجية الصندوق أو المنتج الحالي. لم توضع أحجام تذاكر أو شروط ملزمة غير متحققة.</x:v>
      </x:c>
    </x:row>
    <x:row r="18" ht="48" customHeight="1">
      <x:c r="A18" s="27" t="str">
        <x:v>الأهلية المصرفية والحكومية</x:v>
      </x:c>
      <x:c r="B18" s="27" t="str">
        <x:v>وجود الجهة بالقائمة لا يضمن التمويل. أهلية الجنسية والملكية والرخصة والإيرادات والتقييم الائتماني تختلف حسب المنتج.</x:v>
      </x:c>
    </x:row>
    <x:row r="19" ht="48" customHeight="1">
      <x:c r="A19" s="27" t="str">
        <x:v>حالة نافذة التقديم</x:v>
      </x:c>
      <x:c r="B19" s="27" t="str">
        <x:v>لم يُتحقق من قبول طلبات جديدة لكل الجهات. وجود صفحة أو نموذج لا يعني فتح دورة أو التزامًا بالاستثمار.</x:v>
      </x:c>
    </x:row>
    <x:row r="20" ht="48" customHeight="1">
      <x:c r="A20" s="27" t="str">
        <x:v>تاريخ المراجعة</x:v>
      </x:c>
      <x:c r="B20" s="27" t="str">
        <x:v>22 أكتوبر 2026، بتوقيت الرياض. مراجعة مصادر ويب عامة وقد تكون الصفحات المؤرشفة أقدم من هذا التاريخ.</x:v>
      </x:c>
    </x:row>
    <x:row r="21" ht="48" customHeight="1">
      <x:c r="A21" s="27" t="str">
        <x:v>العلاقات المؤسسية</x:v>
      </x:c>
      <x:c r="B21" s="27" t="str">
        <x:v>كيانات قانونية أو قنوات مختلفة قد تنتمي إلى المجموعة نفسها؛ العلاقات المعروفة موضحة لتجنب ازدواج التواصل.</x:v>
      </x:c>
    </x:row>
    <x:row r="22" ht="48" customHeight="1">
      <x:c r="A22" s="27" t="str">
        <x:v>الخطوة العملية التالية</x:v>
      </x:c>
      <x:c r="B22" s="27" t="str">
        <x:v>تأكيد جهة الاتصال والبيانات الحالية، ثم تحديث حالة التواصل والملاءمة في القائمتين.</x:v>
      </x:c>
    </x:row>
  </x:sheetData>
  <x:pageMargins left="0.7" right="0.7" top="0.75" bottom="0.75" header="0.3" footer="0.3"/>
</x:worksheet>
</file>